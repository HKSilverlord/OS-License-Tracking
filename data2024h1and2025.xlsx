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Anh\Documents\Esuhai\OS\DX Projects\Bangchamcong\"/>
    </mc:Choice>
  </mc:AlternateContent>
  <xr:revisionPtr revIDLastSave="0" documentId="13_ncr:1_{E358F2C3-C651-49CA-AC2C-2551C5C5F646}" xr6:coauthVersionLast="47" xr6:coauthVersionMax="47" xr10:uidLastSave="{00000000-0000-0000-0000-000000000000}"/>
  <bookViews>
    <workbookView xWindow="2340" yWindow="2340" windowWidth="21600" windowHeight="12645" xr2:uid="{D1B79F01-6DCD-4199-A012-6C9D618CD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5" i="1" l="1"/>
  <c r="X45" i="1"/>
  <c r="W45" i="1"/>
  <c r="Q45" i="1"/>
  <c r="P45" i="1"/>
  <c r="O45" i="1"/>
  <c r="N45" i="1"/>
  <c r="M45" i="1"/>
  <c r="L45" i="1"/>
  <c r="L47" i="1" s="1"/>
  <c r="J45" i="1"/>
  <c r="I45" i="1"/>
  <c r="H45" i="1"/>
  <c r="F45" i="1"/>
  <c r="W44" i="1"/>
  <c r="V44" i="1"/>
  <c r="U44" i="1"/>
  <c r="S44" i="1"/>
  <c r="Q44" i="1"/>
  <c r="P44" i="1"/>
  <c r="N44" i="1"/>
  <c r="M44" i="1"/>
  <c r="J44" i="1"/>
  <c r="I44" i="1"/>
  <c r="H44" i="1"/>
  <c r="G44" i="1"/>
  <c r="F44" i="1"/>
  <c r="G45" i="1" s="1"/>
  <c r="Y43" i="1"/>
  <c r="Y42" i="1"/>
  <c r="Y41" i="1"/>
  <c r="Y40" i="1"/>
  <c r="Y39" i="1"/>
  <c r="Y38" i="1"/>
  <c r="Y37" i="1"/>
  <c r="Y36" i="1"/>
  <c r="Y35" i="1"/>
  <c r="Z35" i="1" s="1"/>
  <c r="Z34" i="1"/>
  <c r="Y34" i="1"/>
  <c r="W33" i="1"/>
  <c r="Y33" i="1" s="1"/>
  <c r="Z33" i="1" s="1"/>
  <c r="Y32" i="1"/>
  <c r="Z32" i="1" s="1"/>
  <c r="W31" i="1"/>
  <c r="Y31" i="1" s="1"/>
  <c r="Z31" i="1" s="1"/>
  <c r="V31" i="1"/>
  <c r="Y30" i="1"/>
  <c r="Z30" i="1" s="1"/>
  <c r="Y29" i="1"/>
  <c r="Z29" i="1" s="1"/>
  <c r="Y28" i="1"/>
  <c r="Z28" i="1" s="1"/>
  <c r="R27" i="1"/>
  <c r="Y27" i="1" s="1"/>
  <c r="Z27" i="1" s="1"/>
  <c r="Y26" i="1"/>
  <c r="Z26" i="1" s="1"/>
  <c r="R26" i="1"/>
  <c r="Y25" i="1"/>
  <c r="Z25" i="1" s="1"/>
  <c r="R25" i="1"/>
  <c r="R24" i="1"/>
  <c r="Y24" i="1" s="1"/>
  <c r="Z24" i="1" s="1"/>
  <c r="T23" i="1"/>
  <c r="R23" i="1"/>
  <c r="Y23" i="1" s="1"/>
  <c r="Z23" i="1" s="1"/>
  <c r="R22" i="1"/>
  <c r="Y22" i="1" s="1"/>
  <c r="Z22" i="1" s="1"/>
  <c r="R21" i="1"/>
  <c r="Y21" i="1" s="1"/>
  <c r="Z21" i="1" s="1"/>
  <c r="R20" i="1"/>
  <c r="Y20" i="1" s="1"/>
  <c r="Z20" i="1" s="1"/>
  <c r="V19" i="1"/>
  <c r="R19" i="1"/>
  <c r="Y19" i="1" s="1"/>
  <c r="Z19" i="1" s="1"/>
  <c r="R18" i="1"/>
  <c r="Y18" i="1" s="1"/>
  <c r="Z18" i="1" s="1"/>
  <c r="R17" i="1"/>
  <c r="Y17" i="1" s="1"/>
  <c r="Z17" i="1" s="1"/>
  <c r="R16" i="1"/>
  <c r="Y16" i="1" s="1"/>
  <c r="Z16" i="1" s="1"/>
  <c r="R15" i="1"/>
  <c r="Y15" i="1" s="1"/>
  <c r="Z15" i="1" s="1"/>
  <c r="R14" i="1"/>
  <c r="Y14" i="1" s="1"/>
  <c r="Z14" i="1" s="1"/>
  <c r="R13" i="1"/>
  <c r="Y13" i="1" s="1"/>
  <c r="Z13" i="1" s="1"/>
  <c r="R12" i="1"/>
  <c r="Y12" i="1" s="1"/>
  <c r="Z12" i="1" s="1"/>
  <c r="R11" i="1"/>
  <c r="Y11" i="1" s="1"/>
  <c r="Z11" i="1" s="1"/>
  <c r="R10" i="1"/>
  <c r="Y10" i="1" s="1"/>
  <c r="Z10" i="1" s="1"/>
  <c r="K10" i="1"/>
  <c r="R9" i="1"/>
  <c r="Y9" i="1" s="1"/>
  <c r="Z9" i="1" s="1"/>
  <c r="Y8" i="1"/>
  <c r="Z8" i="1" s="1"/>
  <c r="R8" i="1"/>
  <c r="K8" i="1"/>
  <c r="R7" i="1"/>
  <c r="Y7" i="1" s="1"/>
  <c r="Z7" i="1" s="1"/>
  <c r="R6" i="1"/>
  <c r="Y6" i="1" s="1"/>
  <c r="Z6" i="1" s="1"/>
  <c r="K6" i="1"/>
  <c r="A6" i="1"/>
  <c r="A8" i="1" s="1"/>
  <c r="A10" i="1" s="1"/>
  <c r="A12" i="1" s="1"/>
  <c r="A14" i="1" s="1"/>
  <c r="V5" i="1"/>
  <c r="T5" i="1"/>
  <c r="N5" i="1"/>
  <c r="R5" i="1" s="1"/>
  <c r="Y5" i="1" s="1"/>
  <c r="Z5" i="1" s="1"/>
  <c r="T4" i="1"/>
  <c r="T44" i="1" s="1"/>
  <c r="R4" i="1"/>
  <c r="Y4" i="1" s="1"/>
  <c r="Z4" i="1" s="1"/>
  <c r="Z44" i="1" s="1"/>
  <c r="AA44" i="1" s="1"/>
  <c r="AE44" i="1" s="1"/>
  <c r="K4" i="1"/>
  <c r="V45" i="1" s="1"/>
  <c r="M47" i="1" l="1"/>
  <c r="N47" i="1" s="1"/>
  <c r="O47" i="1" s="1"/>
  <c r="P47" i="1" s="1"/>
  <c r="Q47" i="1" s="1"/>
  <c r="R47" i="1" s="1"/>
  <c r="K44" i="1"/>
  <c r="K45" i="1"/>
  <c r="X44" i="1"/>
  <c r="O44" i="1"/>
  <c r="L44" i="1"/>
  <c r="R45" i="1"/>
  <c r="S45" i="1"/>
  <c r="T45" i="1"/>
  <c r="Z45" i="1"/>
  <c r="AA45" i="1" s="1"/>
  <c r="AE45" i="1" s="1"/>
  <c r="U45" i="1"/>
  <c r="AA46" i="1" l="1"/>
  <c r="S47" i="1"/>
  <c r="T47" i="1" s="1"/>
  <c r="U47" i="1" s="1"/>
  <c r="V47" i="1" s="1"/>
  <c r="W47" i="1" s="1"/>
  <c r="Y45" i="1"/>
  <c r="R44" i="1"/>
  <c r="L46" i="1"/>
  <c r="M46" i="1" s="1"/>
  <c r="N46" i="1" s="1"/>
  <c r="O46" i="1" s="1"/>
  <c r="P46" i="1" s="1"/>
  <c r="Q46" i="1" s="1"/>
  <c r="AE46" i="1"/>
  <c r="Y44" i="1" l="1"/>
  <c r="T51" i="1" s="1"/>
  <c r="T52" i="1" s="1"/>
  <c r="T54" i="1" s="1"/>
  <c r="S46" i="1"/>
  <c r="T46" i="1" s="1"/>
  <c r="U46" i="1" s="1"/>
  <c r="V46" i="1" s="1"/>
  <c r="W46" i="1" s="1"/>
  <c r="X46" i="1" s="1"/>
  <c r="Y46" i="1" s="1"/>
  <c r="R46" i="1"/>
  <c r="X47" i="1"/>
  <c r="W49" i="1"/>
  <c r="Y47" i="1" l="1"/>
  <c r="W51" i="1" s="1"/>
  <c r="W52" i="1" s="1"/>
  <c r="W54" i="1" s="1"/>
  <c r="X49" i="1"/>
  <c r="W48" i="1"/>
  <c r="X48" i="1"/>
  <c r="V48" i="1"/>
  <c r="V49" i="1"/>
</calcChain>
</file>

<file path=xl/sharedStrings.xml><?xml version="1.0" encoding="utf-8"?>
<sst xmlns="http://schemas.openxmlformats.org/spreadsheetml/2006/main" count="410" uniqueCount="87">
  <si>
    <t>OS業務受託見込み</t>
  </si>
  <si>
    <t>2024 H2</t>
  </si>
  <si>
    <t>2025 H1</t>
  </si>
  <si>
    <t>半期計画</t>
  </si>
  <si>
    <t>2025 H2</t>
  </si>
  <si>
    <t>年間計画</t>
  </si>
  <si>
    <t>No</t>
    <phoneticPr fontId="0"/>
  </si>
  <si>
    <t>社名</t>
  </si>
  <si>
    <t>業務内容</t>
  </si>
  <si>
    <t>使用
ソフト</t>
  </si>
  <si>
    <t>8月</t>
  </si>
  <si>
    <t>9月</t>
  </si>
  <si>
    <t>10月</t>
  </si>
  <si>
    <t>11月</t>
  </si>
  <si>
    <t>12月</t>
    <phoneticPr fontId="0"/>
  </si>
  <si>
    <t>Total/Pj</t>
  </si>
  <si>
    <t>1月</t>
  </si>
  <si>
    <t>2月</t>
    <phoneticPr fontId="0"/>
  </si>
  <si>
    <t>3月</t>
    <phoneticPr fontId="0"/>
  </si>
  <si>
    <t>4月</t>
    <phoneticPr fontId="0"/>
  </si>
  <si>
    <t>5月</t>
    <phoneticPr fontId="0"/>
  </si>
  <si>
    <t>6月</t>
    <phoneticPr fontId="0"/>
  </si>
  <si>
    <t>7月</t>
    <phoneticPr fontId="0"/>
  </si>
  <si>
    <t>8月</t>
    <phoneticPr fontId="0"/>
  </si>
  <si>
    <t>9月</t>
    <phoneticPr fontId="0"/>
  </si>
  <si>
    <t>10月</t>
    <phoneticPr fontId="0"/>
  </si>
  <si>
    <t>11月</t>
    <phoneticPr fontId="0"/>
  </si>
  <si>
    <t>売上金額(円)</t>
  </si>
  <si>
    <r>
      <t xml:space="preserve">ISJ
</t>
    </r>
    <r>
      <rPr>
        <sz val="10"/>
        <color rgb="FF000000"/>
        <rFont val="Meiryo"/>
        <family val="3"/>
        <charset val="128"/>
      </rPr>
      <t>(日本オンサイト)</t>
    </r>
  </si>
  <si>
    <t>設備設計</t>
  </si>
  <si>
    <t>ー</t>
  </si>
  <si>
    <t>計画</t>
    <rPh sb="0" eb="2">
      <t>ケイカク</t>
    </rPh>
    <phoneticPr fontId="0"/>
  </si>
  <si>
    <t>実績</t>
    <rPh sb="0" eb="2">
      <t>ジッセキ</t>
    </rPh>
    <phoneticPr fontId="0"/>
  </si>
  <si>
    <t>ISJ
(部品設計)</t>
    <phoneticPr fontId="0"/>
  </si>
  <si>
    <t>自動車部品</t>
    <phoneticPr fontId="0"/>
  </si>
  <si>
    <t>CATIA</t>
  </si>
  <si>
    <t>-</t>
  </si>
  <si>
    <t>ISJ
（生産設備)</t>
  </si>
  <si>
    <t>図面化</t>
  </si>
  <si>
    <t>ICAD</t>
    <phoneticPr fontId="0"/>
  </si>
  <si>
    <t>GLW
(LM)</t>
    <phoneticPr fontId="0"/>
  </si>
  <si>
    <t>電気自動車の
ベースデザイン</t>
    <phoneticPr fontId="0"/>
  </si>
  <si>
    <t>実績</t>
  </si>
  <si>
    <t>GLW
(FALTEC)</t>
    <phoneticPr fontId="0"/>
  </si>
  <si>
    <t>外装部品設計</t>
    <phoneticPr fontId="0"/>
  </si>
  <si>
    <t>CATIAトライアル</t>
  </si>
  <si>
    <t>GLW
(河西テクノ)</t>
    <phoneticPr fontId="0"/>
  </si>
  <si>
    <t>内装部品設計</t>
    <phoneticPr fontId="0"/>
  </si>
  <si>
    <t>実績</t>
    <phoneticPr fontId="0"/>
  </si>
  <si>
    <t>テクノハマ</t>
  </si>
  <si>
    <t>金型データ作成</t>
    <phoneticPr fontId="0"/>
  </si>
  <si>
    <t>NX
CATIA</t>
    <phoneticPr fontId="0"/>
  </si>
  <si>
    <t>GNN（5P45）
(河西テクノ)</t>
    <phoneticPr fontId="0"/>
  </si>
  <si>
    <t>受託検討中</t>
    <rPh sb="0" eb="2">
      <t>ジュタク</t>
    </rPh>
    <rPh sb="2" eb="5">
      <t>ケントウチュウ</t>
    </rPh>
    <phoneticPr fontId="0"/>
  </si>
  <si>
    <t>受託検討中</t>
  </si>
  <si>
    <t>GNN（H60E）
(河西テクノ)</t>
    <phoneticPr fontId="0"/>
  </si>
  <si>
    <t>GNN（L53M）
(河西テクノ)</t>
  </si>
  <si>
    <t>GNN（33FY）
(河西テクノ)</t>
    <phoneticPr fontId="0"/>
  </si>
  <si>
    <t>日泉化学</t>
    <phoneticPr fontId="0"/>
  </si>
  <si>
    <t>VUTEQ​
インドネシア</t>
    <phoneticPr fontId="0"/>
  </si>
  <si>
    <t>GNN（W13G）
(河西工業)</t>
    <rPh sb="11" eb="13">
      <t>カサイ</t>
    </rPh>
    <rPh sb="13" eb="15">
      <t>コウギョウ</t>
    </rPh>
    <phoneticPr fontId="0"/>
  </si>
  <si>
    <t>‐</t>
  </si>
  <si>
    <t>GNN（W13G）
(河西工業オンサイト)</t>
    <rPh sb="11" eb="13">
      <t>カサイ</t>
    </rPh>
    <rPh sb="13" eb="15">
      <t>コウギョウ</t>
    </rPh>
    <phoneticPr fontId="0"/>
  </si>
  <si>
    <t>啓装工業</t>
    <phoneticPr fontId="0"/>
  </si>
  <si>
    <t>生産設備</t>
    <phoneticPr fontId="0"/>
  </si>
  <si>
    <t>Honda HRAP</t>
    <phoneticPr fontId="0"/>
  </si>
  <si>
    <t>・内外装部品設計
・プレス部品設計</t>
    <rPh sb="2" eb="3">
      <t>ガイ</t>
    </rPh>
    <rPh sb="13" eb="17">
      <t>ブヒンセ</t>
    </rPh>
    <phoneticPr fontId="0"/>
  </si>
  <si>
    <t>今里食品</t>
    <phoneticPr fontId="0"/>
  </si>
  <si>
    <t>機械自動化</t>
    <rPh sb="0" eb="5">
      <t>キカイジドウ</t>
    </rPh>
    <phoneticPr fontId="0"/>
  </si>
  <si>
    <t>株式会社コイズミデザイン</t>
    <phoneticPr fontId="0"/>
  </si>
  <si>
    <t>機械設計業務</t>
    <rPh sb="0" eb="2">
      <t>キカイ</t>
    </rPh>
    <rPh sb="2" eb="6">
      <t>セ</t>
    </rPh>
    <phoneticPr fontId="0"/>
  </si>
  <si>
    <t>曙ブレーキ工業</t>
    <phoneticPr fontId="0"/>
  </si>
  <si>
    <t>機械設計</t>
    <rPh sb="0" eb="2">
      <t>キカイ</t>
    </rPh>
    <rPh sb="2" eb="4">
      <t>セッケイ</t>
    </rPh>
    <phoneticPr fontId="0"/>
  </si>
  <si>
    <t>Total(合計)/月</t>
  </si>
  <si>
    <t>計画</t>
  </si>
  <si>
    <t>万円</t>
  </si>
  <si>
    <t>売上金額</t>
  </si>
  <si>
    <t>目標</t>
  </si>
  <si>
    <t>Cum(累計)/月</t>
  </si>
  <si>
    <t>差異</t>
    <phoneticPr fontId="0"/>
  </si>
  <si>
    <t>%</t>
    <phoneticPr fontId="0"/>
  </si>
  <si>
    <t>1年License使用料(7本)</t>
    <rPh sb="14" eb="15">
      <t>ホン</t>
    </rPh>
    <phoneticPr fontId="0"/>
  </si>
  <si>
    <t>Total from Aug-24 to Dec-24:</t>
    <phoneticPr fontId="0"/>
  </si>
  <si>
    <t>Total amount (JPY):</t>
  </si>
  <si>
    <t>Exchange rate:</t>
  </si>
  <si>
    <t>Total amount (VND)</t>
  </si>
  <si>
    <t>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</si>
</sst>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_);[Red]\(0\)"/>
    <numFmt numFmtId="165" formatCode="&quot;¥&quot;#,##0"/>
    <numFmt numFmtId="169" formatCode="_-* #,##0_-;\-* #,##0_-;_-* &quot;-&quot;??_-;_-@_-"/>
  </numFmts>
  <fonts count="5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theme="1"/>
      <name val="Meiryo"/>
      <family val="2"/>
    </font>
    <font>
      <sz val="12"/>
      <color theme="1"/>
      <name val="Meiryo"/>
      <family val="2"/>
    </font>
    <font>
      <sz val="12"/>
      <color theme="1"/>
      <name val="Meiryo"/>
      <family val="2"/>
      <charset val="128"/>
    </font>
    <font>
      <b/>
      <sz val="16"/>
      <color rgb="FFFF0000"/>
      <name val="Meiryo"/>
      <family val="2"/>
      <charset val="128"/>
    </font>
    <font>
      <b/>
      <sz val="12"/>
      <color theme="1"/>
      <name val="Meiryo"/>
      <family val="3"/>
      <charset val="128"/>
    </font>
    <font>
      <b/>
      <sz val="12"/>
      <color theme="1"/>
      <name val="Meiryo"/>
      <charset val="128"/>
    </font>
    <font>
      <sz val="12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0"/>
      <color theme="1"/>
      <name val="Meiryo"/>
      <family val="2"/>
      <charset val="128"/>
    </font>
    <font>
      <b/>
      <sz val="12"/>
      <color rgb="FF0000FF"/>
      <name val="Meiryo"/>
      <family val="2"/>
      <charset val="128"/>
    </font>
    <font>
      <b/>
      <sz val="12"/>
      <color rgb="FF0000FF"/>
      <name val="Aptos Narrow"/>
      <family val="2"/>
      <scheme val="minor"/>
    </font>
    <font>
      <b/>
      <sz val="12"/>
      <color rgb="FF0000FF"/>
      <name val="Meiryo"/>
      <charset val="128"/>
    </font>
    <font>
      <sz val="12"/>
      <color rgb="FF00B0F0"/>
      <name val="Meiryo"/>
      <family val="2"/>
    </font>
    <font>
      <b/>
      <sz val="12"/>
      <color rgb="FF00B0F0"/>
      <name val="Meiryo"/>
      <charset val="128"/>
    </font>
    <font>
      <b/>
      <sz val="12"/>
      <color rgb="FF00B0F0"/>
      <name val="Meiryo"/>
      <family val="2"/>
      <charset val="128"/>
    </font>
    <font>
      <b/>
      <sz val="12"/>
      <name val="Meiryo"/>
      <family val="2"/>
      <charset val="128"/>
    </font>
    <font>
      <sz val="12"/>
      <name val="Meiryo"/>
      <family val="2"/>
      <charset val="128"/>
    </font>
    <font>
      <b/>
      <sz val="12"/>
      <color theme="1"/>
      <name val="Meiryo"/>
      <family val="2"/>
      <charset val="128"/>
    </font>
    <font>
      <b/>
      <sz val="12"/>
      <color rgb="FF00B0F0"/>
      <name val="Meiryo"/>
      <family val="2"/>
    </font>
    <font>
      <b/>
      <sz val="12"/>
      <color rgb="FFFF0000"/>
      <name val="Meiryo"/>
      <family val="2"/>
    </font>
    <font>
      <sz val="12"/>
      <color rgb="FF000000"/>
      <name val="Meiryo"/>
      <family val="2"/>
      <charset val="128"/>
    </font>
    <font>
      <sz val="10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rgb="FF000000"/>
      <name val="Aptos Narrow"/>
      <family val="2"/>
      <scheme val="minor"/>
    </font>
    <font>
      <sz val="12"/>
      <name val="Meiryo"/>
      <family val="2"/>
    </font>
    <font>
      <b/>
      <sz val="12"/>
      <name val="Meiryo"/>
      <family val="2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2"/>
      <color rgb="FF00B0F0"/>
      <name val="Aptos Narrow"/>
      <family val="2"/>
      <scheme val="minor"/>
    </font>
    <font>
      <sz val="12"/>
      <color rgb="FFFF0000"/>
      <name val="Meiryo"/>
      <family val="2"/>
    </font>
    <font>
      <sz val="12"/>
      <color rgb="FFFF0000"/>
      <name val="Meiryo"/>
      <family val="2"/>
      <charset val="128"/>
    </font>
    <font>
      <sz val="10"/>
      <color rgb="FFFF0000"/>
      <name val="Meiryo"/>
      <family val="2"/>
      <charset val="128"/>
    </font>
    <font>
      <b/>
      <sz val="12"/>
      <color rgb="FFFF0000"/>
      <name val="Meiryo"/>
      <family val="2"/>
      <charset val="128"/>
    </font>
    <font>
      <b/>
      <sz val="12"/>
      <color rgb="FFFF0000"/>
      <name val="Aptos Narrow"/>
      <family val="2"/>
      <scheme val="minor"/>
    </font>
    <font>
      <sz val="12"/>
      <color rgb="FFFF0000"/>
      <name val="Meiryo"/>
      <family val="3"/>
      <charset val="128"/>
    </font>
    <font>
      <sz val="10"/>
      <color rgb="FFFF0000"/>
      <name val="Meiryo"/>
      <family val="3"/>
      <charset val="128"/>
    </font>
    <font>
      <b/>
      <sz val="12"/>
      <color rgb="FFFF0000"/>
      <name val="Meiryo"/>
      <charset val="128"/>
    </font>
    <font>
      <sz val="10"/>
      <color rgb="FFFF0000"/>
      <name val="Meiryo"/>
      <charset val="128"/>
    </font>
    <font>
      <b/>
      <sz val="12"/>
      <color rgb="FF0000FF"/>
      <name val="Meiryo"/>
      <family val="3"/>
      <charset val="128"/>
    </font>
    <font>
      <sz val="12"/>
      <color rgb="FFFF0000"/>
      <name val="Meiryo"/>
    </font>
    <font>
      <sz val="12"/>
      <color rgb="FFFF0000"/>
      <name val="Meiryo"/>
      <charset val="128"/>
    </font>
    <font>
      <sz val="12"/>
      <name val="Meiryo"/>
    </font>
    <font>
      <sz val="12"/>
      <color rgb="FF00B0F0"/>
      <name val="Meiryo"/>
    </font>
    <font>
      <sz val="12"/>
      <color theme="2"/>
      <name val="Meiryo"/>
      <family val="2"/>
    </font>
    <font>
      <sz val="12"/>
      <color theme="2"/>
      <name val="Meiryo"/>
      <charset val="128"/>
    </font>
    <font>
      <sz val="10"/>
      <color theme="2"/>
      <name val="Meiryo"/>
      <family val="3"/>
      <charset val="128"/>
    </font>
    <font>
      <b/>
      <sz val="12"/>
      <color theme="2"/>
      <name val="Meiryo"/>
      <family val="2"/>
    </font>
    <font>
      <b/>
      <sz val="12"/>
      <color theme="2"/>
      <name val="Meiryo"/>
      <family val="2"/>
      <charset val="128"/>
    </font>
    <font>
      <b/>
      <sz val="12"/>
      <color theme="2"/>
      <name val="Aptos Narrow"/>
      <family val="2"/>
      <scheme val="minor"/>
    </font>
    <font>
      <b/>
      <sz val="12"/>
      <color theme="2"/>
      <name val="Meiryo"/>
      <charset val="128"/>
    </font>
    <font>
      <sz val="11"/>
      <color theme="2"/>
      <name val="Aptos Narrow"/>
      <family val="2"/>
      <scheme val="minor"/>
    </font>
    <font>
      <sz val="10"/>
      <color theme="2"/>
      <name val="Meiryo"/>
      <family val="2"/>
      <charset val="128"/>
    </font>
    <font>
      <sz val="12"/>
      <color theme="1"/>
      <name val="Meiryo"/>
      <charset val="128"/>
    </font>
    <font>
      <b/>
      <sz val="12"/>
      <color theme="1"/>
      <name val="Meiryo"/>
      <family val="2"/>
    </font>
    <font>
      <b/>
      <sz val="12"/>
      <color rgb="FF00B0F0"/>
      <name val="Meiryo"/>
      <family val="3"/>
      <charset val="128"/>
    </font>
    <font>
      <sz val="12"/>
      <color rgb="FF0000FF"/>
      <name val="Meiryo"/>
      <family val="2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8" fillId="0" borderId="0" applyFont="0" applyFill="0" applyBorder="0" applyAlignment="0" applyProtection="0"/>
  </cellStyleXfs>
  <cellXfs count="276">
    <xf numFmtId="0" fontId="0" fillId="0" borderId="0" xfId="0"/>
    <xf numFmtId="164" fontId="3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5" fillId="3" borderId="0" xfId="0" applyNumberFormat="1" applyFont="1" applyFill="1"/>
    <xf numFmtId="0" fontId="3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0" fontId="7" fillId="2" borderId="11" xfId="0" applyFont="1" applyFill="1" applyBorder="1"/>
    <xf numFmtId="0" fontId="7" fillId="2" borderId="12" xfId="0" applyFont="1" applyFill="1" applyBorder="1"/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164" fontId="11" fillId="0" borderId="17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1" fillId="5" borderId="19" xfId="0" applyNumberFormat="1" applyFont="1" applyFill="1" applyBorder="1" applyAlignment="1">
      <alignment horizontal="center" vertical="center"/>
    </xf>
    <xf numFmtId="164" fontId="11" fillId="5" borderId="17" xfId="0" applyNumberFormat="1" applyFont="1" applyFill="1" applyBorder="1" applyAlignment="1">
      <alignment horizontal="center" vertical="center"/>
    </xf>
    <xf numFmtId="165" fontId="13" fillId="2" borderId="4" xfId="0" applyNumberFormat="1" applyFont="1" applyFill="1" applyBorder="1"/>
    <xf numFmtId="0" fontId="3" fillId="2" borderId="4" xfId="0" applyFont="1" applyFill="1" applyBorder="1"/>
    <xf numFmtId="0" fontId="14" fillId="2" borderId="21" xfId="0" applyFont="1" applyFill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16" fillId="0" borderId="22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7" fillId="5" borderId="17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/>
    <xf numFmtId="164" fontId="11" fillId="6" borderId="17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horizontal="center" vertical="center"/>
    </xf>
    <xf numFmtId="164" fontId="11" fillId="6" borderId="16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64" fontId="15" fillId="6" borderId="17" xfId="0" applyNumberFormat="1" applyFont="1" applyFill="1" applyBorder="1" applyAlignment="1">
      <alignment horizontal="center" vertical="center"/>
    </xf>
    <xf numFmtId="164" fontId="15" fillId="6" borderId="16" xfId="0" applyNumberFormat="1" applyFont="1" applyFill="1" applyBorder="1" applyAlignment="1">
      <alignment horizontal="center" vertical="center"/>
    </xf>
    <xf numFmtId="164" fontId="19" fillId="5" borderId="19" xfId="0" applyNumberFormat="1" applyFont="1" applyFill="1" applyBorder="1" applyAlignment="1">
      <alignment horizontal="center" vertical="center"/>
    </xf>
    <xf numFmtId="164" fontId="16" fillId="7" borderId="16" xfId="0" applyNumberFormat="1" applyFont="1" applyFill="1" applyBorder="1" applyAlignment="1">
      <alignment horizontal="center" vertical="center"/>
    </xf>
    <xf numFmtId="164" fontId="16" fillId="2" borderId="16" xfId="0" applyNumberFormat="1" applyFont="1" applyFill="1" applyBorder="1" applyAlignment="1">
      <alignment horizontal="center" vertical="center"/>
    </xf>
    <xf numFmtId="164" fontId="13" fillId="6" borderId="17" xfId="0" applyNumberFormat="1" applyFont="1" applyFill="1" applyBorder="1" applyAlignment="1">
      <alignment horizontal="center" vertical="center"/>
    </xf>
    <xf numFmtId="164" fontId="13" fillId="6" borderId="16" xfId="0" applyNumberFormat="1" applyFont="1" applyFill="1" applyBorder="1" applyAlignment="1">
      <alignment horizontal="center" vertical="center"/>
    </xf>
    <xf numFmtId="164" fontId="11" fillId="7" borderId="16" xfId="0" applyNumberFormat="1" applyFont="1" applyFill="1" applyBorder="1" applyAlignment="1">
      <alignment horizontal="center" vertical="center"/>
    </xf>
    <xf numFmtId="164" fontId="16" fillId="6" borderId="16" xfId="0" applyNumberFormat="1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164" fontId="16" fillId="6" borderId="17" xfId="0" applyNumberFormat="1" applyFont="1" applyFill="1" applyBorder="1" applyAlignment="1">
      <alignment horizontal="center" vertical="center"/>
    </xf>
    <xf numFmtId="164" fontId="16" fillId="7" borderId="22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vertical="center"/>
    </xf>
    <xf numFmtId="0" fontId="14" fillId="2" borderId="16" xfId="0" applyFont="1" applyFill="1" applyBorder="1" applyAlignment="1">
      <alignment horizontal="center" vertical="center"/>
    </xf>
    <xf numFmtId="164" fontId="16" fillId="6" borderId="25" xfId="0" applyNumberFormat="1" applyFont="1" applyFill="1" applyBorder="1" applyAlignment="1">
      <alignment horizontal="center" vertical="center"/>
    </xf>
    <xf numFmtId="164" fontId="11" fillId="7" borderId="22" xfId="0" applyNumberFormat="1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7" fillId="7" borderId="23" xfId="0" applyFont="1" applyFill="1" applyBorder="1" applyAlignment="1">
      <alignment vertical="center"/>
    </xf>
    <xf numFmtId="0" fontId="27" fillId="7" borderId="26" xfId="0" applyFont="1" applyFill="1" applyBorder="1" applyAlignment="1">
      <alignment vertical="center"/>
    </xf>
    <xf numFmtId="0" fontId="27" fillId="2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center" vertical="center"/>
    </xf>
    <xf numFmtId="164" fontId="16" fillId="2" borderId="17" xfId="0" applyNumberFormat="1" applyFont="1" applyFill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0" fontId="27" fillId="2" borderId="23" xfId="0" applyFont="1" applyFill="1" applyBorder="1" applyAlignment="1">
      <alignment vertical="center"/>
    </xf>
    <xf numFmtId="164" fontId="16" fillId="0" borderId="17" xfId="0" applyNumberFormat="1" applyFont="1" applyBorder="1" applyAlignment="1">
      <alignment horizontal="center" vertical="center"/>
    </xf>
    <xf numFmtId="164" fontId="13" fillId="5" borderId="19" xfId="0" applyNumberFormat="1" applyFont="1" applyFill="1" applyBorder="1" applyAlignment="1">
      <alignment horizontal="center" vertical="center"/>
    </xf>
    <xf numFmtId="164" fontId="30" fillId="0" borderId="16" xfId="0" applyNumberFormat="1" applyFont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vertical="center"/>
    </xf>
    <xf numFmtId="0" fontId="31" fillId="2" borderId="16" xfId="0" applyFont="1" applyFill="1" applyBorder="1" applyAlignment="1">
      <alignment horizontal="center" vertical="center"/>
    </xf>
    <xf numFmtId="0" fontId="31" fillId="5" borderId="16" xfId="0" applyFont="1" applyFill="1" applyBorder="1" applyAlignment="1">
      <alignment horizontal="center" vertical="center"/>
    </xf>
    <xf numFmtId="164" fontId="34" fillId="0" borderId="16" xfId="0" applyNumberFormat="1" applyFont="1" applyBorder="1" applyAlignment="1">
      <alignment horizontal="center" vertical="center"/>
    </xf>
    <xf numFmtId="164" fontId="34" fillId="0" borderId="17" xfId="0" applyNumberFormat="1" applyFont="1" applyBorder="1" applyAlignment="1">
      <alignment horizontal="center" vertical="center"/>
    </xf>
    <xf numFmtId="164" fontId="35" fillId="0" borderId="16" xfId="0" applyNumberFormat="1" applyFont="1" applyBorder="1" applyAlignment="1">
      <alignment horizontal="center" vertical="center"/>
    </xf>
    <xf numFmtId="164" fontId="34" fillId="5" borderId="19" xfId="0" applyNumberFormat="1" applyFont="1" applyFill="1" applyBorder="1" applyAlignment="1">
      <alignment horizontal="center" vertical="center"/>
    </xf>
    <xf numFmtId="164" fontId="38" fillId="0" borderId="16" xfId="0" applyNumberFormat="1" applyFont="1" applyBorder="1" applyAlignment="1">
      <alignment horizontal="center" vertical="center"/>
    </xf>
    <xf numFmtId="164" fontId="38" fillId="5" borderId="19" xfId="0" applyNumberFormat="1" applyFont="1" applyFill="1" applyBorder="1" applyAlignment="1">
      <alignment horizontal="center" vertical="center"/>
    </xf>
    <xf numFmtId="164" fontId="11" fillId="5" borderId="28" xfId="0" applyNumberFormat="1" applyFont="1" applyFill="1" applyBorder="1" applyAlignment="1">
      <alignment horizontal="center" vertical="center"/>
    </xf>
    <xf numFmtId="164" fontId="34" fillId="7" borderId="22" xfId="0" applyNumberFormat="1" applyFont="1" applyFill="1" applyBorder="1" applyAlignment="1">
      <alignment horizontal="center" vertical="center"/>
    </xf>
    <xf numFmtId="164" fontId="34" fillId="7" borderId="16" xfId="0" applyNumberFormat="1" applyFont="1" applyFill="1" applyBorder="1" applyAlignment="1">
      <alignment horizontal="center" vertical="center"/>
    </xf>
    <xf numFmtId="164" fontId="40" fillId="0" borderId="16" xfId="0" applyNumberFormat="1" applyFont="1" applyBorder="1" applyAlignment="1">
      <alignment horizontal="center" vertical="center"/>
    </xf>
    <xf numFmtId="0" fontId="43" fillId="2" borderId="21" xfId="0" applyFont="1" applyFill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164" fontId="13" fillId="5" borderId="17" xfId="0" applyNumberFormat="1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center" vertical="center"/>
    </xf>
    <xf numFmtId="164" fontId="19" fillId="5" borderId="17" xfId="0" applyNumberFormat="1" applyFont="1" applyFill="1" applyBorder="1" applyAlignment="1">
      <alignment horizontal="center" vertical="center"/>
    </xf>
    <xf numFmtId="0" fontId="45" fillId="2" borderId="14" xfId="0" applyFont="1" applyFill="1" applyBorder="1" applyAlignment="1">
      <alignment horizontal="center" vertical="center"/>
    </xf>
    <xf numFmtId="0" fontId="45" fillId="2" borderId="21" xfId="0" applyFont="1" applyFill="1" applyBorder="1" applyAlignment="1">
      <alignment horizontal="center" vertical="center"/>
    </xf>
    <xf numFmtId="0" fontId="48" fillId="7" borderId="23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48" fillId="2" borderId="27" xfId="0" applyFont="1" applyFill="1" applyBorder="1" applyAlignment="1">
      <alignment vertical="center"/>
    </xf>
    <xf numFmtId="0" fontId="45" fillId="5" borderId="14" xfId="0" applyFont="1" applyFill="1" applyBorder="1" applyAlignment="1">
      <alignment horizontal="center" vertical="center"/>
    </xf>
    <xf numFmtId="164" fontId="49" fillId="0" borderId="16" xfId="0" applyNumberFormat="1" applyFont="1" applyBorder="1" applyAlignment="1">
      <alignment horizontal="center" vertical="center"/>
    </xf>
    <xf numFmtId="164" fontId="49" fillId="0" borderId="17" xfId="0" applyNumberFormat="1" applyFont="1" applyBorder="1" applyAlignment="1">
      <alignment horizontal="center" vertical="center"/>
    </xf>
    <xf numFmtId="164" fontId="50" fillId="0" borderId="16" xfId="0" applyNumberFormat="1" applyFont="1" applyBorder="1" applyAlignment="1">
      <alignment horizontal="center" vertical="center"/>
    </xf>
    <xf numFmtId="164" fontId="49" fillId="5" borderId="19" xfId="0" applyNumberFormat="1" applyFont="1" applyFill="1" applyBorder="1" applyAlignment="1">
      <alignment horizontal="center" vertical="center"/>
    </xf>
    <xf numFmtId="164" fontId="49" fillId="5" borderId="17" xfId="0" applyNumberFormat="1" applyFont="1" applyFill="1" applyBorder="1" applyAlignment="1">
      <alignment horizontal="center" vertical="center"/>
    </xf>
    <xf numFmtId="0" fontId="51" fillId="2" borderId="4" xfId="0" applyFont="1" applyFill="1" applyBorder="1"/>
    <xf numFmtId="0" fontId="45" fillId="2" borderId="4" xfId="0" applyFont="1" applyFill="1" applyBorder="1"/>
    <xf numFmtId="0" fontId="45" fillId="2" borderId="0" xfId="0" applyFont="1" applyFill="1"/>
    <xf numFmtId="0" fontId="45" fillId="2" borderId="16" xfId="0" applyFont="1" applyFill="1" applyBorder="1" applyAlignment="1">
      <alignment horizontal="center" vertical="center"/>
    </xf>
    <xf numFmtId="164" fontId="49" fillId="5" borderId="28" xfId="0" applyNumberFormat="1" applyFont="1" applyFill="1" applyBorder="1" applyAlignment="1">
      <alignment horizontal="center" vertical="center"/>
    </xf>
    <xf numFmtId="164" fontId="49" fillId="0" borderId="22" xfId="0" applyNumberFormat="1" applyFont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vertical="center"/>
    </xf>
    <xf numFmtId="0" fontId="27" fillId="2" borderId="16" xfId="0" applyFont="1" applyFill="1" applyBorder="1" applyAlignment="1">
      <alignment vertical="center"/>
    </xf>
    <xf numFmtId="164" fontId="12" fillId="0" borderId="29" xfId="0" applyNumberFormat="1" applyFont="1" applyBorder="1" applyAlignment="1">
      <alignment horizontal="center" vertical="center"/>
    </xf>
    <xf numFmtId="164" fontId="11" fillId="0" borderId="29" xfId="0" applyNumberFormat="1" applyFont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64" fontId="3" fillId="5" borderId="35" xfId="0" applyNumberFormat="1" applyFont="1" applyFill="1" applyBorder="1" applyAlignment="1">
      <alignment horizontal="center" vertical="center"/>
    </xf>
    <xf numFmtId="164" fontId="3" fillId="5" borderId="36" xfId="0" applyNumberFormat="1" applyFont="1" applyFill="1" applyBorder="1" applyAlignment="1">
      <alignment horizontal="center" vertical="center"/>
    </xf>
    <xf numFmtId="164" fontId="3" fillId="5" borderId="37" xfId="0" applyNumberFormat="1" applyFont="1" applyFill="1" applyBorder="1" applyAlignment="1">
      <alignment horizontal="center" vertical="center"/>
    </xf>
    <xf numFmtId="164" fontId="54" fillId="5" borderId="38" xfId="0" applyNumberFormat="1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 vertical="center"/>
    </xf>
    <xf numFmtId="164" fontId="55" fillId="5" borderId="11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/>
    <xf numFmtId="4" fontId="7" fillId="2" borderId="4" xfId="0" applyNumberFormat="1" applyFont="1" applyFill="1" applyBorder="1"/>
    <xf numFmtId="3" fontId="3" fillId="2" borderId="4" xfId="0" applyNumberFormat="1" applyFont="1" applyFill="1" applyBorder="1"/>
    <xf numFmtId="0" fontId="14" fillId="5" borderId="39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164" fontId="56" fillId="5" borderId="4" xfId="0" applyNumberFormat="1" applyFont="1" applyFill="1" applyBorder="1" applyAlignment="1">
      <alignment horizontal="center" vertical="center"/>
    </xf>
    <xf numFmtId="164" fontId="56" fillId="5" borderId="11" xfId="0" applyNumberFormat="1" applyFont="1" applyFill="1" applyBorder="1" applyAlignment="1">
      <alignment horizontal="center" vertical="center"/>
    </xf>
    <xf numFmtId="164" fontId="56" fillId="5" borderId="35" xfId="0" applyNumberFormat="1" applyFont="1" applyFill="1" applyBorder="1" applyAlignment="1">
      <alignment horizontal="center" vertical="center"/>
    </xf>
    <xf numFmtId="164" fontId="56" fillId="5" borderId="44" xfId="0" applyNumberFormat="1" applyFont="1" applyFill="1" applyBorder="1" applyAlignment="1">
      <alignment horizontal="center" vertical="center"/>
    </xf>
    <xf numFmtId="164" fontId="56" fillId="5" borderId="12" xfId="0" applyNumberFormat="1" applyFont="1" applyFill="1" applyBorder="1" applyAlignment="1">
      <alignment horizontal="center" vertical="center"/>
    </xf>
    <xf numFmtId="164" fontId="20" fillId="5" borderId="45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4" fontId="20" fillId="5" borderId="46" xfId="0" applyNumberFormat="1" applyFont="1" applyFill="1" applyBorder="1" applyAlignment="1">
      <alignment horizontal="center" vertical="center"/>
    </xf>
    <xf numFmtId="3" fontId="38" fillId="2" borderId="4" xfId="0" applyNumberFormat="1" applyFont="1" applyFill="1" applyBorder="1"/>
    <xf numFmtId="0" fontId="3" fillId="8" borderId="49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164" fontId="3" fillId="5" borderId="31" xfId="0" applyNumberFormat="1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center" vertical="center"/>
    </xf>
    <xf numFmtId="164" fontId="3" fillId="5" borderId="4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21" fillId="5" borderId="1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right"/>
    </xf>
    <xf numFmtId="0" fontId="3" fillId="5" borderId="39" xfId="0" applyFont="1" applyFill="1" applyBorder="1"/>
    <xf numFmtId="164" fontId="56" fillId="5" borderId="53" xfId="0" applyNumberFormat="1" applyFont="1" applyFill="1" applyBorder="1" applyAlignment="1">
      <alignment horizontal="center" vertical="center"/>
    </xf>
    <xf numFmtId="164" fontId="56" fillId="5" borderId="39" xfId="0" applyNumberFormat="1" applyFont="1" applyFill="1" applyBorder="1" applyAlignment="1">
      <alignment horizontal="center" vertical="center"/>
    </xf>
    <xf numFmtId="164" fontId="56" fillId="5" borderId="46" xfId="0" applyNumberFormat="1" applyFont="1" applyFill="1" applyBorder="1" applyAlignment="1">
      <alignment horizontal="center" vertical="center"/>
    </xf>
    <xf numFmtId="164" fontId="56" fillId="5" borderId="54" xfId="0" applyNumberFormat="1" applyFont="1" applyFill="1" applyBorder="1" applyAlignment="1">
      <alignment horizontal="center" vertical="center"/>
    </xf>
    <xf numFmtId="164" fontId="56" fillId="5" borderId="55" xfId="0" applyNumberFormat="1" applyFont="1" applyFill="1" applyBorder="1" applyAlignment="1">
      <alignment horizontal="center" vertical="center"/>
    </xf>
    <xf numFmtId="164" fontId="56" fillId="5" borderId="50" xfId="0" applyNumberFormat="1" applyFont="1" applyFill="1" applyBorder="1" applyAlignment="1">
      <alignment horizontal="center" vertical="center"/>
    </xf>
    <xf numFmtId="164" fontId="56" fillId="5" borderId="45" xfId="0" applyNumberFormat="1" applyFont="1" applyFill="1" applyBorder="1" applyAlignment="1">
      <alignment horizontal="center" vertical="center"/>
    </xf>
    <xf numFmtId="164" fontId="20" fillId="5" borderId="39" xfId="0" applyNumberFormat="1" applyFont="1" applyFill="1" applyBorder="1" applyAlignment="1">
      <alignment horizontal="center" vertical="center"/>
    </xf>
    <xf numFmtId="164" fontId="21" fillId="5" borderId="39" xfId="0" applyNumberFormat="1" applyFont="1" applyFill="1" applyBorder="1" applyAlignment="1">
      <alignment horizontal="center" vertical="center"/>
    </xf>
    <xf numFmtId="164" fontId="20" fillId="5" borderId="46" xfId="0" applyNumberFormat="1" applyFont="1" applyFill="1" applyBorder="1" applyAlignment="1">
      <alignment horizontal="center"/>
    </xf>
    <xf numFmtId="0" fontId="3" fillId="2" borderId="39" xfId="0" applyFont="1" applyFill="1" applyBorder="1"/>
    <xf numFmtId="0" fontId="3" fillId="8" borderId="46" xfId="0" applyFont="1" applyFill="1" applyBorder="1" applyAlignment="1">
      <alignment horizontal="left" vertical="center"/>
    </xf>
    <xf numFmtId="0" fontId="14" fillId="5" borderId="49" xfId="0" applyFont="1" applyFill="1" applyBorder="1" applyAlignment="1">
      <alignment horizontal="center" vertical="center"/>
    </xf>
    <xf numFmtId="0" fontId="3" fillId="5" borderId="49" xfId="0" applyFont="1" applyFill="1" applyBorder="1"/>
    <xf numFmtId="164" fontId="56" fillId="5" borderId="49" xfId="0" applyNumberFormat="1" applyFont="1" applyFill="1" applyBorder="1" applyAlignment="1">
      <alignment horizontal="center" vertical="center"/>
    </xf>
    <xf numFmtId="164" fontId="20" fillId="5" borderId="49" xfId="0" applyNumberFormat="1" applyFont="1" applyFill="1" applyBorder="1" applyAlignment="1">
      <alignment horizontal="center" vertical="center"/>
    </xf>
    <xf numFmtId="164" fontId="55" fillId="5" borderId="39" xfId="0" applyNumberFormat="1" applyFont="1" applyFill="1" applyBorder="1" applyAlignment="1">
      <alignment horizontal="center" vertical="center"/>
    </xf>
    <xf numFmtId="164" fontId="20" fillId="5" borderId="39" xfId="0" applyNumberFormat="1" applyFont="1" applyFill="1" applyBorder="1" applyAlignment="1">
      <alignment horizontal="center"/>
    </xf>
    <xf numFmtId="0" fontId="3" fillId="2" borderId="49" xfId="0" applyFont="1" applyFill="1" applyBorder="1"/>
    <xf numFmtId="0" fontId="4" fillId="2" borderId="49" xfId="0" applyFont="1" applyFill="1" applyBorder="1"/>
    <xf numFmtId="0" fontId="3" fillId="5" borderId="4" xfId="0" applyFont="1" applyFill="1" applyBorder="1"/>
    <xf numFmtId="164" fontId="3" fillId="2" borderId="4" xfId="0" applyNumberFormat="1" applyFont="1" applyFill="1" applyBorder="1"/>
    <xf numFmtId="164" fontId="57" fillId="2" borderId="4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/>
    <xf numFmtId="9" fontId="3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/>
    <xf numFmtId="164" fontId="3" fillId="2" borderId="0" xfId="0" applyNumberFormat="1" applyFont="1" applyFill="1"/>
    <xf numFmtId="164" fontId="57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/>
    <xf numFmtId="0" fontId="3" fillId="2" borderId="11" xfId="0" applyFont="1" applyFill="1" applyBorder="1" applyAlignment="1">
      <alignment horizontal="left"/>
    </xf>
    <xf numFmtId="0" fontId="3" fillId="2" borderId="56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3" fontId="3" fillId="2" borderId="11" xfId="0" applyNumberFormat="1" applyFont="1" applyFill="1" applyBorder="1" applyAlignment="1">
      <alignment horizontal="center"/>
    </xf>
    <xf numFmtId="3" fontId="3" fillId="2" borderId="56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left"/>
    </xf>
    <xf numFmtId="164" fontId="3" fillId="2" borderId="11" xfId="0" applyNumberFormat="1" applyFont="1" applyFill="1" applyBorder="1" applyAlignment="1">
      <alignment horizontal="center"/>
    </xf>
    <xf numFmtId="164" fontId="3" fillId="2" borderId="56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0" fontId="3" fillId="8" borderId="48" xfId="0" applyFont="1" applyFill="1" applyBorder="1" applyAlignment="1">
      <alignment horizontal="left" vertical="center"/>
    </xf>
    <xf numFmtId="0" fontId="3" fillId="8" borderId="49" xfId="0" applyFont="1" applyFill="1" applyBorder="1" applyAlignment="1">
      <alignment horizontal="left" vertical="center"/>
    </xf>
    <xf numFmtId="0" fontId="3" fillId="8" borderId="50" xfId="0" applyFont="1" applyFill="1" applyBorder="1" applyAlignment="1">
      <alignment horizontal="left" vertical="center"/>
    </xf>
    <xf numFmtId="0" fontId="3" fillId="8" borderId="5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52" xfId="0" applyFont="1" applyFill="1" applyBorder="1" applyAlignment="1">
      <alignment horizontal="left" vertical="center"/>
    </xf>
    <xf numFmtId="164" fontId="7" fillId="0" borderId="11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3" fillId="2" borderId="47" xfId="0" applyFont="1" applyFill="1" applyBorder="1" applyAlignment="1">
      <alignment horizontal="center"/>
    </xf>
    <xf numFmtId="0" fontId="14" fillId="2" borderId="47" xfId="0" applyFont="1" applyFill="1" applyBorder="1" applyAlignment="1">
      <alignment horizontal="center"/>
    </xf>
    <xf numFmtId="164" fontId="3" fillId="2" borderId="47" xfId="0" applyNumberFormat="1" applyFont="1" applyFill="1" applyBorder="1" applyAlignment="1">
      <alignment horizontal="center"/>
    </xf>
    <xf numFmtId="164" fontId="14" fillId="2" borderId="47" xfId="0" applyNumberFormat="1" applyFont="1" applyFill="1" applyBorder="1" applyAlignment="1">
      <alignment horizontal="center"/>
    </xf>
    <xf numFmtId="0" fontId="31" fillId="2" borderId="1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42" fillId="2" borderId="16" xfId="0" applyFont="1" applyFill="1" applyBorder="1" applyAlignment="1">
      <alignment horizontal="center" vertical="center"/>
    </xf>
    <xf numFmtId="0" fontId="36" fillId="2" borderId="16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left" vertical="center"/>
    </xf>
    <xf numFmtId="0" fontId="3" fillId="8" borderId="31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40" xfId="0" applyFont="1" applyFill="1" applyBorder="1" applyAlignment="1">
      <alignment horizontal="left" vertical="center"/>
    </xf>
    <xf numFmtId="0" fontId="3" fillId="8" borderId="41" xfId="0" applyFont="1" applyFill="1" applyBorder="1" applyAlignment="1">
      <alignment horizontal="left" vertical="center"/>
    </xf>
    <xf numFmtId="0" fontId="3" fillId="8" borderId="42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center"/>
    </xf>
    <xf numFmtId="0" fontId="42" fillId="2" borderId="14" xfId="0" applyFont="1" applyFill="1" applyBorder="1" applyAlignment="1">
      <alignment horizontal="center" vertical="center" wrapText="1"/>
    </xf>
    <xf numFmtId="0" fontId="42" fillId="2" borderId="24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 wrapText="1"/>
    </xf>
    <xf numFmtId="0" fontId="32" fillId="2" borderId="24" xfId="0" applyFont="1" applyFill="1" applyBorder="1" applyAlignment="1">
      <alignment horizontal="center" vertical="center"/>
    </xf>
    <xf numFmtId="0" fontId="39" fillId="2" borderId="16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46" fillId="2" borderId="14" xfId="0" applyFont="1" applyFill="1" applyBorder="1" applyAlignment="1">
      <alignment horizontal="center" vertical="center" wrapText="1"/>
    </xf>
    <xf numFmtId="0" fontId="46" fillId="2" borderId="24" xfId="0" applyFont="1" applyFill="1" applyBorder="1" applyAlignment="1">
      <alignment horizontal="center" vertical="center"/>
    </xf>
    <xf numFmtId="0" fontId="47" fillId="2" borderId="16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/>
    </xf>
    <xf numFmtId="0" fontId="45" fillId="2" borderId="14" xfId="0" applyFont="1" applyFill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41" fillId="2" borderId="13" xfId="0" applyFont="1" applyFill="1" applyBorder="1" applyAlignment="1">
      <alignment horizontal="center" vertical="center"/>
    </xf>
    <xf numFmtId="0" fontId="41" fillId="2" borderId="14" xfId="0" applyFont="1" applyFill="1" applyBorder="1" applyAlignment="1">
      <alignment horizontal="center" vertical="center"/>
    </xf>
    <xf numFmtId="0" fontId="33" fillId="2" borderId="16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 wrapText="1"/>
    </xf>
    <xf numFmtId="0" fontId="37" fillId="2" borderId="21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D53A-1472-4DEA-B975-3DB3345915A5}">
  <dimension ref="A1:AI55"/>
  <sheetViews>
    <sheetView tabSelected="1" topLeftCell="O40" zoomScale="70" zoomScaleNormal="70" workbookViewId="0">
      <selection activeCell="AC55" sqref="AC55"/>
    </sheetView>
  </sheetViews>
  <sheetFormatPr defaultRowHeight="15" x14ac:dyDescent="0.25"/>
  <cols>
    <col min="6" max="10" width="16.42578125" customWidth="1"/>
    <col min="12" max="17" width="15.28515625" customWidth="1"/>
    <col min="19" max="24" width="14.85546875" customWidth="1"/>
    <col min="25" max="25" width="17.140625" customWidth="1"/>
    <col min="26" max="26" width="17.28515625" bestFit="1" customWidth="1"/>
    <col min="27" max="27" width="13.85546875" customWidth="1"/>
    <col min="28" max="28" width="27.7109375" customWidth="1"/>
    <col min="29" max="29" width="12.140625" customWidth="1"/>
    <col min="30" max="31" width="13.28515625" customWidth="1"/>
  </cols>
  <sheetData>
    <row r="1" spans="1:35" ht="38.25" x14ac:dyDescent="0.85">
      <c r="A1" s="274" t="s">
        <v>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"/>
      <c r="AC1" s="2"/>
      <c r="AD1" s="2"/>
      <c r="AE1" s="2"/>
      <c r="AF1" s="2"/>
      <c r="AG1" s="2"/>
      <c r="AH1" s="2"/>
      <c r="AI1" s="2"/>
    </row>
    <row r="2" spans="1:35" ht="25.5" thickBot="1" x14ac:dyDescent="0.6">
      <c r="A2" s="2"/>
      <c r="B2" s="3"/>
      <c r="C2" s="2"/>
      <c r="D2" s="2"/>
      <c r="E2" s="2"/>
      <c r="F2" s="4" t="s">
        <v>1</v>
      </c>
      <c r="G2" s="4" t="s">
        <v>1</v>
      </c>
      <c r="H2" s="4" t="s">
        <v>1</v>
      </c>
      <c r="I2" s="4" t="s">
        <v>1</v>
      </c>
      <c r="J2" s="5" t="s">
        <v>1</v>
      </c>
      <c r="K2" s="6"/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5" t="s">
        <v>2</v>
      </c>
      <c r="R2" s="1" t="s">
        <v>3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8" t="s">
        <v>4</v>
      </c>
      <c r="Y2" s="9" t="s">
        <v>5</v>
      </c>
      <c r="Z2" s="271"/>
      <c r="AA2" s="271"/>
      <c r="AB2" s="2"/>
      <c r="AC2" s="2"/>
      <c r="AD2" s="2"/>
      <c r="AE2" s="2"/>
      <c r="AF2" s="2"/>
      <c r="AG2" s="2"/>
      <c r="AH2" s="2"/>
      <c r="AI2" s="2"/>
    </row>
    <row r="3" spans="1:35" ht="39.75" thickBot="1" x14ac:dyDescent="0.5">
      <c r="A3" s="10" t="s">
        <v>6</v>
      </c>
      <c r="B3" s="11" t="s">
        <v>7</v>
      </c>
      <c r="C3" s="12" t="s">
        <v>8</v>
      </c>
      <c r="D3" s="13" t="s">
        <v>9</v>
      </c>
      <c r="E3" s="12"/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4" t="s">
        <v>15</v>
      </c>
      <c r="L3" s="15" t="s">
        <v>16</v>
      </c>
      <c r="M3" s="15" t="s">
        <v>17</v>
      </c>
      <c r="N3" s="16" t="s">
        <v>18</v>
      </c>
      <c r="O3" s="16" t="s">
        <v>19</v>
      </c>
      <c r="P3" s="15" t="s">
        <v>20</v>
      </c>
      <c r="Q3" s="15" t="s">
        <v>21</v>
      </c>
      <c r="R3" s="17" t="s">
        <v>15</v>
      </c>
      <c r="S3" s="18" t="s">
        <v>22</v>
      </c>
      <c r="T3" s="15" t="s">
        <v>23</v>
      </c>
      <c r="U3" s="15" t="s">
        <v>24</v>
      </c>
      <c r="V3" s="15" t="s">
        <v>25</v>
      </c>
      <c r="W3" s="15" t="s">
        <v>26</v>
      </c>
      <c r="X3" s="19" t="s">
        <v>14</v>
      </c>
      <c r="Y3" s="20" t="s">
        <v>15</v>
      </c>
      <c r="Z3" s="21" t="s">
        <v>27</v>
      </c>
      <c r="AA3" s="22"/>
      <c r="AB3" s="2"/>
      <c r="AC3" s="2"/>
      <c r="AD3" s="2"/>
      <c r="AE3" s="2"/>
      <c r="AF3" s="2"/>
      <c r="AG3" s="2"/>
      <c r="AH3" s="2"/>
      <c r="AI3" s="2"/>
    </row>
    <row r="4" spans="1:35" ht="19.5" x14ac:dyDescent="0.45">
      <c r="A4" s="241">
        <v>1</v>
      </c>
      <c r="B4" s="272" t="s">
        <v>28</v>
      </c>
      <c r="C4" s="273" t="s">
        <v>29</v>
      </c>
      <c r="D4" s="247" t="s">
        <v>30</v>
      </c>
      <c r="E4" s="24" t="s">
        <v>31</v>
      </c>
      <c r="F4" s="24">
        <v>0</v>
      </c>
      <c r="G4" s="24">
        <v>50</v>
      </c>
      <c r="H4" s="24">
        <v>50</v>
      </c>
      <c r="I4" s="24">
        <v>100</v>
      </c>
      <c r="J4" s="24">
        <v>100</v>
      </c>
      <c r="K4" s="25">
        <f t="shared" ref="K4" si="0">SUM(F4:J4)</f>
        <v>300</v>
      </c>
      <c r="L4" s="26">
        <v>130</v>
      </c>
      <c r="M4" s="26">
        <v>160</v>
      </c>
      <c r="N4" s="27">
        <v>160</v>
      </c>
      <c r="O4" s="27">
        <v>160</v>
      </c>
      <c r="P4" s="28">
        <v>105</v>
      </c>
      <c r="Q4" s="26">
        <v>160</v>
      </c>
      <c r="R4" s="29">
        <f t="shared" ref="R4:R26" si="1">SUM(L4:Q4)</f>
        <v>875</v>
      </c>
      <c r="S4" s="26">
        <v>160</v>
      </c>
      <c r="T4" s="26">
        <f>160-5*8</f>
        <v>120</v>
      </c>
      <c r="U4" s="26">
        <v>160</v>
      </c>
      <c r="V4" s="26">
        <v>160</v>
      </c>
      <c r="W4" s="26">
        <v>160</v>
      </c>
      <c r="X4" s="26">
        <v>135</v>
      </c>
      <c r="Y4" s="30">
        <f>SUM(R4:X4)</f>
        <v>1770</v>
      </c>
      <c r="Z4" s="31">
        <f>Y4*3000</f>
        <v>5310000</v>
      </c>
      <c r="AA4" s="32"/>
      <c r="AB4" s="2"/>
      <c r="AC4" s="2"/>
      <c r="AD4" s="2"/>
      <c r="AE4" s="2"/>
      <c r="AF4" s="2"/>
      <c r="AG4" s="2"/>
      <c r="AH4" s="2"/>
      <c r="AI4" s="2"/>
    </row>
    <row r="5" spans="1:35" ht="19.5" x14ac:dyDescent="0.45">
      <c r="A5" s="258"/>
      <c r="B5" s="265"/>
      <c r="C5" s="267"/>
      <c r="D5" s="267"/>
      <c r="E5" s="33" t="s">
        <v>32</v>
      </c>
      <c r="F5" s="24"/>
      <c r="G5" s="24"/>
      <c r="H5" s="24"/>
      <c r="I5" s="24"/>
      <c r="J5" s="24"/>
      <c r="K5" s="25"/>
      <c r="L5" s="34">
        <v>80</v>
      </c>
      <c r="M5" s="34">
        <v>152</v>
      </c>
      <c r="N5" s="35">
        <f>40+40+40+40</f>
        <v>160</v>
      </c>
      <c r="O5" s="35">
        <v>152</v>
      </c>
      <c r="P5" s="36">
        <v>161</v>
      </c>
      <c r="Q5" s="34">
        <v>170.5</v>
      </c>
      <c r="R5" s="37">
        <f>SUM(L5:Q5)</f>
        <v>875.5</v>
      </c>
      <c r="S5" s="38">
        <v>160</v>
      </c>
      <c r="T5" s="39">
        <f>73.5+40+40</f>
        <v>153.5</v>
      </c>
      <c r="U5" s="39">
        <v>160</v>
      </c>
      <c r="V5" s="39">
        <f>181.75</f>
        <v>181.75</v>
      </c>
      <c r="W5" s="39">
        <v>80</v>
      </c>
      <c r="X5" s="39"/>
      <c r="Y5" s="40">
        <f>SUM(R5:X5)</f>
        <v>1610.75</v>
      </c>
      <c r="Z5" s="41">
        <f>Y5*3000</f>
        <v>4832250</v>
      </c>
      <c r="AA5" s="32"/>
      <c r="AB5" s="2"/>
      <c r="AC5" s="2"/>
      <c r="AD5" s="2"/>
      <c r="AE5" s="2"/>
      <c r="AF5" s="2"/>
      <c r="AG5" s="2"/>
      <c r="AH5" s="2"/>
      <c r="AI5" s="2"/>
    </row>
    <row r="6" spans="1:35" ht="19.5" x14ac:dyDescent="0.45">
      <c r="A6" s="241">
        <f>A4+1</f>
        <v>2</v>
      </c>
      <c r="B6" s="268" t="s">
        <v>33</v>
      </c>
      <c r="C6" s="223" t="s">
        <v>34</v>
      </c>
      <c r="D6" s="247" t="s">
        <v>35</v>
      </c>
      <c r="E6" s="24" t="s">
        <v>31</v>
      </c>
      <c r="F6" s="24">
        <v>0</v>
      </c>
      <c r="G6" s="24">
        <v>50</v>
      </c>
      <c r="H6" s="24">
        <v>50</v>
      </c>
      <c r="I6" s="24">
        <v>100</v>
      </c>
      <c r="J6" s="24">
        <v>100</v>
      </c>
      <c r="K6" s="25">
        <f t="shared" ref="K6" si="2">SUM(F6:J6)</f>
        <v>300</v>
      </c>
      <c r="L6" s="26">
        <v>120</v>
      </c>
      <c r="M6" s="26">
        <v>150</v>
      </c>
      <c r="N6" s="42">
        <v>150</v>
      </c>
      <c r="O6" s="42">
        <v>150</v>
      </c>
      <c r="P6" s="43">
        <v>100</v>
      </c>
      <c r="Q6" s="44">
        <v>150</v>
      </c>
      <c r="R6" s="29">
        <f>SUM(L6:Q6)</f>
        <v>820</v>
      </c>
      <c r="S6" s="26">
        <v>200</v>
      </c>
      <c r="T6" s="26">
        <v>180</v>
      </c>
      <c r="U6" s="26">
        <v>200</v>
      </c>
      <c r="V6" s="26">
        <v>200</v>
      </c>
      <c r="W6" s="26">
        <v>200</v>
      </c>
      <c r="X6" s="26">
        <v>180</v>
      </c>
      <c r="Y6" s="30">
        <f>SUM(R6:X6)</f>
        <v>1980</v>
      </c>
      <c r="Z6" s="31">
        <f>Y6*3000</f>
        <v>5940000</v>
      </c>
      <c r="AA6" s="32"/>
      <c r="AB6" s="2"/>
      <c r="AC6" s="2"/>
      <c r="AD6" s="2"/>
      <c r="AE6" s="2"/>
      <c r="AF6" s="2"/>
      <c r="AG6" s="2"/>
      <c r="AH6" s="2"/>
      <c r="AI6" s="2"/>
    </row>
    <row r="7" spans="1:35" ht="19.5" x14ac:dyDescent="0.45">
      <c r="A7" s="258"/>
      <c r="B7" s="269"/>
      <c r="C7" s="267"/>
      <c r="D7" s="270"/>
      <c r="E7" s="33" t="s">
        <v>32</v>
      </c>
      <c r="F7" s="24"/>
      <c r="G7" s="24"/>
      <c r="H7" s="24"/>
      <c r="I7" s="24"/>
      <c r="J7" s="24"/>
      <c r="K7" s="25"/>
      <c r="L7" s="34">
        <v>32</v>
      </c>
      <c r="M7" s="34">
        <v>56</v>
      </c>
      <c r="N7" s="46" t="s">
        <v>36</v>
      </c>
      <c r="O7" s="46" t="s">
        <v>36</v>
      </c>
      <c r="P7" s="43"/>
      <c r="Q7" s="47"/>
      <c r="R7" s="48">
        <f>SUM(L7:Q7)</f>
        <v>88</v>
      </c>
      <c r="S7" s="49"/>
      <c r="T7" s="49"/>
      <c r="U7" s="49"/>
      <c r="V7" s="49"/>
      <c r="W7" s="50"/>
      <c r="X7" s="50"/>
      <c r="Y7" s="40">
        <f t="shared" ref="Y7:Y27" si="3">SUM(R7:X7)</f>
        <v>88</v>
      </c>
      <c r="Z7" s="41">
        <f>Y7*3000</f>
        <v>264000</v>
      </c>
      <c r="AA7" s="32"/>
      <c r="AB7" s="2"/>
      <c r="AC7" s="2"/>
      <c r="AD7" s="2"/>
      <c r="AE7" s="2"/>
      <c r="AF7" s="2"/>
      <c r="AG7" s="2"/>
      <c r="AH7" s="2"/>
      <c r="AI7" s="2"/>
    </row>
    <row r="8" spans="1:35" ht="19.5" x14ac:dyDescent="0.45">
      <c r="A8" s="241">
        <f>A6+1</f>
        <v>3</v>
      </c>
      <c r="B8" s="268" t="s">
        <v>37</v>
      </c>
      <c r="C8" s="223" t="s">
        <v>38</v>
      </c>
      <c r="D8" s="247" t="s">
        <v>39</v>
      </c>
      <c r="E8" s="24" t="s">
        <v>31</v>
      </c>
      <c r="F8" s="24">
        <v>0</v>
      </c>
      <c r="G8" s="24">
        <v>50</v>
      </c>
      <c r="H8" s="24">
        <v>50</v>
      </c>
      <c r="I8" s="24">
        <v>100</v>
      </c>
      <c r="J8" s="24">
        <v>100</v>
      </c>
      <c r="K8" s="25">
        <f t="shared" ref="K8" si="4">SUM(F8:J8)</f>
        <v>300</v>
      </c>
      <c r="L8" s="26">
        <v>100</v>
      </c>
      <c r="M8" s="26">
        <v>100</v>
      </c>
      <c r="N8" s="27">
        <v>100</v>
      </c>
      <c r="O8" s="51">
        <v>100</v>
      </c>
      <c r="P8" s="43">
        <v>80</v>
      </c>
      <c r="Q8" s="52">
        <v>100</v>
      </c>
      <c r="R8" s="29">
        <f>SUM(L8:Q8)</f>
        <v>580</v>
      </c>
      <c r="S8" s="53"/>
      <c r="T8" s="53"/>
      <c r="U8" s="53"/>
      <c r="V8" s="53"/>
      <c r="W8" s="44"/>
      <c r="X8" s="44"/>
      <c r="Y8" s="30">
        <f>SUM(R8:X8)</f>
        <v>580</v>
      </c>
      <c r="Z8" s="31">
        <f>Y8*2000</f>
        <v>1160000</v>
      </c>
      <c r="AA8" s="32"/>
      <c r="AB8" s="2"/>
      <c r="AC8" s="2"/>
      <c r="AD8" s="2"/>
      <c r="AE8" s="2"/>
      <c r="AF8" s="2"/>
      <c r="AG8" s="2"/>
      <c r="AH8" s="2"/>
      <c r="AI8" s="2"/>
    </row>
    <row r="9" spans="1:35" ht="19.5" x14ac:dyDescent="0.45">
      <c r="A9" s="258"/>
      <c r="B9" s="269"/>
      <c r="C9" s="267"/>
      <c r="D9" s="270"/>
      <c r="E9" s="33" t="s">
        <v>32</v>
      </c>
      <c r="F9" s="24"/>
      <c r="G9" s="24"/>
      <c r="H9" s="24"/>
      <c r="I9" s="24"/>
      <c r="J9" s="24"/>
      <c r="K9" s="25"/>
      <c r="L9" s="34">
        <v>8</v>
      </c>
      <c r="M9" s="34" t="s">
        <v>36</v>
      </c>
      <c r="N9" s="35">
        <v>8</v>
      </c>
      <c r="O9" s="46" t="s">
        <v>36</v>
      </c>
      <c r="P9" s="43"/>
      <c r="Q9" s="47"/>
      <c r="R9" s="48">
        <f>SUM(L9:Q9)</f>
        <v>16</v>
      </c>
      <c r="S9" s="49"/>
      <c r="T9" s="49"/>
      <c r="U9" s="49"/>
      <c r="V9" s="49"/>
      <c r="W9" s="54"/>
      <c r="X9" s="54"/>
      <c r="Y9" s="40">
        <f t="shared" ref="Y9" si="5">SUM(R9:X9)</f>
        <v>16</v>
      </c>
      <c r="Z9" s="41">
        <f>Y9*2000</f>
        <v>32000</v>
      </c>
      <c r="AA9" s="32"/>
      <c r="AB9" s="2"/>
      <c r="AC9" s="2"/>
      <c r="AD9" s="2"/>
      <c r="AE9" s="2"/>
      <c r="AF9" s="2"/>
      <c r="AG9" s="2"/>
      <c r="AH9" s="2"/>
      <c r="AI9" s="2"/>
    </row>
    <row r="10" spans="1:35" ht="19.5" x14ac:dyDescent="0.45">
      <c r="A10" s="241">
        <f t="shared" ref="A10" si="6">A8+1</f>
        <v>4</v>
      </c>
      <c r="B10" s="243" t="s">
        <v>40</v>
      </c>
      <c r="C10" s="245" t="s">
        <v>41</v>
      </c>
      <c r="D10" s="247" t="s">
        <v>35</v>
      </c>
      <c r="E10" s="45" t="s">
        <v>31</v>
      </c>
      <c r="F10" s="24">
        <v>0</v>
      </c>
      <c r="G10" s="24">
        <v>150</v>
      </c>
      <c r="H10" s="24">
        <v>150</v>
      </c>
      <c r="I10" s="24">
        <v>0</v>
      </c>
      <c r="J10" s="24">
        <v>0</v>
      </c>
      <c r="K10" s="25">
        <f t="shared" ref="K10" si="7">SUM(F10:J10)</f>
        <v>300</v>
      </c>
      <c r="L10" s="44">
        <v>0</v>
      </c>
      <c r="M10" s="44">
        <v>50</v>
      </c>
      <c r="N10" s="42">
        <v>50</v>
      </c>
      <c r="O10" s="42">
        <v>50</v>
      </c>
      <c r="P10" s="43">
        <v>50</v>
      </c>
      <c r="Q10" s="44">
        <v>50</v>
      </c>
      <c r="R10" s="29">
        <f t="shared" si="1"/>
        <v>250</v>
      </c>
      <c r="S10" s="53">
        <v>50</v>
      </c>
      <c r="T10" s="53">
        <v>30</v>
      </c>
      <c r="U10" s="53">
        <v>50</v>
      </c>
      <c r="V10" s="53">
        <v>50</v>
      </c>
      <c r="W10" s="26">
        <v>50</v>
      </c>
      <c r="X10" s="26">
        <v>30</v>
      </c>
      <c r="Y10" s="30">
        <f>SUM(R10:X10)</f>
        <v>510</v>
      </c>
      <c r="Z10" s="31">
        <f t="shared" ref="Z10:Z15" si="8">Y10*2300</f>
        <v>1173000</v>
      </c>
      <c r="AA10" s="32"/>
      <c r="AB10" s="2"/>
      <c r="AC10" s="2"/>
      <c r="AD10" s="2"/>
      <c r="AE10" s="2"/>
      <c r="AF10" s="2"/>
      <c r="AG10" s="2"/>
      <c r="AH10" s="2"/>
      <c r="AI10" s="2"/>
    </row>
    <row r="11" spans="1:35" ht="19.5" x14ac:dyDescent="0.45">
      <c r="A11" s="258"/>
      <c r="B11" s="265"/>
      <c r="C11" s="266"/>
      <c r="D11" s="267"/>
      <c r="E11" s="33" t="s">
        <v>42</v>
      </c>
      <c r="F11" s="55">
        <v>3</v>
      </c>
      <c r="G11" s="56">
        <v>74</v>
      </c>
      <c r="H11" s="56">
        <v>109</v>
      </c>
      <c r="I11" s="55">
        <v>150</v>
      </c>
      <c r="J11" s="55">
        <v>446</v>
      </c>
      <c r="K11" s="25"/>
      <c r="L11" s="54" t="s">
        <v>36</v>
      </c>
      <c r="M11" s="54" t="s">
        <v>36</v>
      </c>
      <c r="N11" s="57" t="s">
        <v>36</v>
      </c>
      <c r="O11" s="57" t="s">
        <v>36</v>
      </c>
      <c r="P11" s="43"/>
      <c r="Q11" s="54"/>
      <c r="R11" s="37">
        <f>SUM(L11:Q11)</f>
        <v>0</v>
      </c>
      <c r="S11" s="58"/>
      <c r="T11" s="58"/>
      <c r="U11" s="49"/>
      <c r="V11" s="49"/>
      <c r="W11" s="39"/>
      <c r="X11" s="39"/>
      <c r="Y11" s="40">
        <f>SUM(R11:X11)</f>
        <v>0</v>
      </c>
      <c r="Z11" s="41">
        <f t="shared" si="8"/>
        <v>0</v>
      </c>
      <c r="AA11" s="32"/>
      <c r="AB11" s="2"/>
      <c r="AC11" s="2"/>
      <c r="AD11" s="2"/>
      <c r="AE11" s="2"/>
      <c r="AF11" s="2"/>
      <c r="AG11" s="2"/>
      <c r="AH11" s="2"/>
      <c r="AI11" s="2"/>
    </row>
    <row r="12" spans="1:35" ht="19.5" x14ac:dyDescent="0.45">
      <c r="A12" s="241">
        <f t="shared" ref="A12:A14" si="9">A10+1</f>
        <v>5</v>
      </c>
      <c r="B12" s="243" t="s">
        <v>43</v>
      </c>
      <c r="C12" s="262" t="s">
        <v>44</v>
      </c>
      <c r="D12" s="247" t="s">
        <v>35</v>
      </c>
      <c r="E12" s="24" t="s">
        <v>31</v>
      </c>
      <c r="F12" s="59" t="s">
        <v>45</v>
      </c>
      <c r="G12" s="59" t="s">
        <v>45</v>
      </c>
      <c r="H12" s="59" t="s">
        <v>45</v>
      </c>
      <c r="I12" s="24"/>
      <c r="J12" s="24"/>
      <c r="K12" s="25"/>
      <c r="L12" s="44">
        <v>100</v>
      </c>
      <c r="M12" s="44">
        <v>100</v>
      </c>
      <c r="N12" s="42">
        <v>140</v>
      </c>
      <c r="O12" s="42">
        <v>140</v>
      </c>
      <c r="P12" s="43">
        <v>120</v>
      </c>
      <c r="Q12" s="44">
        <v>140</v>
      </c>
      <c r="R12" s="29">
        <f t="shared" si="1"/>
        <v>740</v>
      </c>
      <c r="S12" s="53">
        <v>140</v>
      </c>
      <c r="T12" s="53">
        <v>120</v>
      </c>
      <c r="U12" s="53">
        <v>140</v>
      </c>
      <c r="V12" s="53">
        <v>140</v>
      </c>
      <c r="W12" s="26">
        <v>140</v>
      </c>
      <c r="X12" s="26">
        <v>120</v>
      </c>
      <c r="Y12" s="30">
        <f>SUM(R12:X12)</f>
        <v>1540</v>
      </c>
      <c r="Z12" s="31">
        <f t="shared" si="8"/>
        <v>3542000</v>
      </c>
      <c r="AA12" s="32"/>
      <c r="AB12" s="2"/>
      <c r="AC12" s="2"/>
      <c r="AD12" s="2"/>
      <c r="AE12" s="2"/>
      <c r="AF12" s="2"/>
      <c r="AG12" s="2"/>
      <c r="AH12" s="2"/>
      <c r="AI12" s="2"/>
    </row>
    <row r="13" spans="1:35" ht="19.5" x14ac:dyDescent="0.45">
      <c r="A13" s="258"/>
      <c r="B13" s="261"/>
      <c r="C13" s="262"/>
      <c r="D13" s="267"/>
      <c r="E13" s="60" t="s">
        <v>42</v>
      </c>
      <c r="F13" s="59" t="s">
        <v>45</v>
      </c>
      <c r="G13" s="59" t="s">
        <v>45</v>
      </c>
      <c r="H13" s="59" t="s">
        <v>45</v>
      </c>
      <c r="I13" s="24"/>
      <c r="J13" s="24"/>
      <c r="K13" s="25"/>
      <c r="L13" s="54" t="s">
        <v>36</v>
      </c>
      <c r="M13" s="54" t="s">
        <v>36</v>
      </c>
      <c r="N13" s="57" t="s">
        <v>36</v>
      </c>
      <c r="O13" s="61" t="s">
        <v>36</v>
      </c>
      <c r="P13" s="43"/>
      <c r="Q13" s="54"/>
      <c r="R13" s="37">
        <f>SUM(L13:Q13)</f>
        <v>0</v>
      </c>
      <c r="S13" s="58"/>
      <c r="T13" s="49"/>
      <c r="U13" s="49"/>
      <c r="V13" s="49"/>
      <c r="W13" s="39"/>
      <c r="X13" s="39"/>
      <c r="Y13" s="40">
        <f t="shared" si="3"/>
        <v>0</v>
      </c>
      <c r="Z13" s="41">
        <f t="shared" si="8"/>
        <v>0</v>
      </c>
      <c r="AA13" s="32"/>
      <c r="AB13" s="2"/>
      <c r="AC13" s="2"/>
      <c r="AD13" s="2"/>
      <c r="AE13" s="2"/>
      <c r="AF13" s="2"/>
      <c r="AG13" s="2"/>
      <c r="AH13" s="2"/>
      <c r="AI13" s="2"/>
    </row>
    <row r="14" spans="1:35" ht="19.5" x14ac:dyDescent="0.45">
      <c r="A14" s="241">
        <f t="shared" si="9"/>
        <v>6</v>
      </c>
      <c r="B14" s="252" t="s">
        <v>46</v>
      </c>
      <c r="C14" s="254" t="s">
        <v>47</v>
      </c>
      <c r="D14" s="256" t="s">
        <v>35</v>
      </c>
      <c r="E14" s="24" t="s">
        <v>31</v>
      </c>
      <c r="F14" s="59" t="s">
        <v>45</v>
      </c>
      <c r="G14" s="59" t="s">
        <v>45</v>
      </c>
      <c r="H14" s="59" t="s">
        <v>45</v>
      </c>
      <c r="I14" s="24"/>
      <c r="J14" s="24"/>
      <c r="K14" s="25"/>
      <c r="L14" s="44">
        <v>100</v>
      </c>
      <c r="M14" s="44">
        <v>100</v>
      </c>
      <c r="N14" s="42">
        <v>100</v>
      </c>
      <c r="O14" s="42">
        <v>100</v>
      </c>
      <c r="P14" s="43">
        <v>80</v>
      </c>
      <c r="Q14" s="44">
        <v>100</v>
      </c>
      <c r="R14" s="29">
        <f t="shared" ref="R14" si="10">SUM(L14:Q14)</f>
        <v>580</v>
      </c>
      <c r="S14" s="53">
        <v>100</v>
      </c>
      <c r="T14" s="53">
        <v>80</v>
      </c>
      <c r="U14" s="53">
        <v>100</v>
      </c>
      <c r="V14" s="53">
        <v>100</v>
      </c>
      <c r="W14" s="26">
        <v>100</v>
      </c>
      <c r="X14" s="26">
        <v>80</v>
      </c>
      <c r="Y14" s="30">
        <f>SUM(R14:X14)</f>
        <v>1140</v>
      </c>
      <c r="Z14" s="31">
        <f t="shared" si="8"/>
        <v>2622000</v>
      </c>
      <c r="AA14" s="32"/>
      <c r="AB14" s="2"/>
      <c r="AC14" s="2"/>
      <c r="AD14" s="2"/>
      <c r="AE14" s="2"/>
      <c r="AF14" s="2"/>
      <c r="AG14" s="2"/>
      <c r="AH14" s="2"/>
      <c r="AI14" s="2"/>
    </row>
    <row r="15" spans="1:35" ht="19.5" x14ac:dyDescent="0.45">
      <c r="A15" s="258"/>
      <c r="B15" s="259"/>
      <c r="C15" s="255"/>
      <c r="D15" s="260"/>
      <c r="E15" s="60" t="s">
        <v>48</v>
      </c>
      <c r="F15" s="59" t="s">
        <v>45</v>
      </c>
      <c r="G15" s="59" t="s">
        <v>45</v>
      </c>
      <c r="H15" s="59" t="s">
        <v>45</v>
      </c>
      <c r="I15" s="24"/>
      <c r="J15" s="24"/>
      <c r="K15" s="25"/>
      <c r="L15" s="54" t="s">
        <v>36</v>
      </c>
      <c r="M15" s="54" t="s">
        <v>36</v>
      </c>
      <c r="N15" s="57" t="s">
        <v>36</v>
      </c>
      <c r="O15" s="61" t="s">
        <v>36</v>
      </c>
      <c r="P15" s="43"/>
      <c r="Q15" s="44"/>
      <c r="R15" s="37">
        <f>SUM(L15:Q15)</f>
        <v>0</v>
      </c>
      <c r="S15" s="62"/>
      <c r="T15" s="53"/>
      <c r="U15" s="53"/>
      <c r="V15" s="53"/>
      <c r="W15" s="26"/>
      <c r="X15" s="26"/>
      <c r="Y15" s="40">
        <f t="shared" ref="Y15" si="11">SUM(R15:X15)</f>
        <v>0</v>
      </c>
      <c r="Z15" s="41">
        <f t="shared" si="8"/>
        <v>0</v>
      </c>
      <c r="AA15" s="32"/>
      <c r="AB15" s="2"/>
      <c r="AC15" s="2"/>
      <c r="AD15" s="2"/>
      <c r="AE15" s="2"/>
      <c r="AF15" s="2"/>
      <c r="AG15" s="2"/>
      <c r="AH15" s="2"/>
      <c r="AI15" s="2"/>
    </row>
    <row r="16" spans="1:35" ht="19.5" x14ac:dyDescent="0.45">
      <c r="A16" s="241">
        <v>7</v>
      </c>
      <c r="B16" s="243" t="s">
        <v>49</v>
      </c>
      <c r="C16" s="262" t="s">
        <v>50</v>
      </c>
      <c r="D16" s="263" t="s">
        <v>51</v>
      </c>
      <c r="E16" s="63" t="s">
        <v>31</v>
      </c>
      <c r="F16" s="64"/>
      <c r="G16" s="65"/>
      <c r="H16" s="66"/>
      <c r="I16" s="23"/>
      <c r="J16" s="23"/>
      <c r="K16" s="67"/>
      <c r="L16" s="68" t="s">
        <v>36</v>
      </c>
      <c r="M16" s="68" t="s">
        <v>36</v>
      </c>
      <c r="N16" s="69" t="s">
        <v>36</v>
      </c>
      <c r="O16" s="69">
        <v>100</v>
      </c>
      <c r="P16" s="36">
        <v>80</v>
      </c>
      <c r="Q16" s="68">
        <v>100</v>
      </c>
      <c r="R16" s="29">
        <f t="shared" ref="R16" si="12">SUM(L16:Q16)</f>
        <v>280</v>
      </c>
      <c r="S16" s="26">
        <v>100</v>
      </c>
      <c r="T16" s="26">
        <v>80</v>
      </c>
      <c r="U16" s="26">
        <v>100</v>
      </c>
      <c r="V16" s="26">
        <v>100</v>
      </c>
      <c r="W16" s="26">
        <v>100</v>
      </c>
      <c r="X16" s="26">
        <v>80</v>
      </c>
      <c r="Y16" s="30">
        <f>SUM(R16:X16)</f>
        <v>840</v>
      </c>
      <c r="Z16" s="31">
        <f>Y16*2500</f>
        <v>2100000</v>
      </c>
      <c r="AA16" s="32"/>
      <c r="AB16" s="2"/>
      <c r="AC16" s="2"/>
      <c r="AD16" s="2"/>
      <c r="AE16" s="2"/>
      <c r="AF16" s="2"/>
      <c r="AG16" s="2"/>
      <c r="AH16" s="2"/>
      <c r="AI16" s="2"/>
    </row>
    <row r="17" spans="1:35" ht="19.5" x14ac:dyDescent="0.45">
      <c r="A17" s="258"/>
      <c r="B17" s="261"/>
      <c r="C17" s="223"/>
      <c r="D17" s="264"/>
      <c r="E17" s="60" t="s">
        <v>42</v>
      </c>
      <c r="F17" s="64"/>
      <c r="G17" s="65"/>
      <c r="H17" s="66"/>
      <c r="I17" s="23"/>
      <c r="J17" s="23"/>
      <c r="K17" s="67"/>
      <c r="L17" s="50" t="s">
        <v>36</v>
      </c>
      <c r="M17" s="50" t="s">
        <v>36</v>
      </c>
      <c r="N17" s="70" t="s">
        <v>36</v>
      </c>
      <c r="O17" s="70" t="s">
        <v>36</v>
      </c>
      <c r="P17" s="36">
        <v>3</v>
      </c>
      <c r="Q17" s="68"/>
      <c r="R17" s="37">
        <f>SUM(L17:Q17)</f>
        <v>3</v>
      </c>
      <c r="S17" s="71"/>
      <c r="T17" s="26"/>
      <c r="U17" s="26"/>
      <c r="V17" s="26"/>
      <c r="W17" s="26"/>
      <c r="X17" s="26"/>
      <c r="Y17" s="40">
        <f t="shared" ref="Y17" si="13">SUM(R17:X17)</f>
        <v>3</v>
      </c>
      <c r="Z17" s="41">
        <f>Y17*2500</f>
        <v>7500</v>
      </c>
      <c r="AA17" s="32"/>
      <c r="AB17" s="2"/>
      <c r="AC17" s="2"/>
      <c r="AD17" s="2"/>
      <c r="AE17" s="2"/>
      <c r="AF17" s="2"/>
      <c r="AG17" s="2"/>
      <c r="AH17" s="2"/>
      <c r="AI17" s="2"/>
    </row>
    <row r="18" spans="1:35" ht="19.5" x14ac:dyDescent="0.45">
      <c r="A18" s="241">
        <v>8</v>
      </c>
      <c r="B18" s="252" t="s">
        <v>52</v>
      </c>
      <c r="C18" s="254" t="s">
        <v>47</v>
      </c>
      <c r="D18" s="256" t="s">
        <v>35</v>
      </c>
      <c r="E18" s="63" t="s">
        <v>31</v>
      </c>
      <c r="F18" s="72" t="s">
        <v>53</v>
      </c>
      <c r="G18" s="72" t="s">
        <v>54</v>
      </c>
      <c r="H18" s="72" t="s">
        <v>53</v>
      </c>
      <c r="I18" s="24"/>
      <c r="J18" s="24"/>
      <c r="K18" s="25"/>
      <c r="L18" s="26">
        <v>100</v>
      </c>
      <c r="M18" s="26">
        <v>100</v>
      </c>
      <c r="N18" s="27">
        <v>100</v>
      </c>
      <c r="O18" s="27">
        <v>100</v>
      </c>
      <c r="P18" s="36">
        <v>80</v>
      </c>
      <c r="Q18" s="26">
        <v>100</v>
      </c>
      <c r="R18" s="29">
        <f t="shared" si="1"/>
        <v>580</v>
      </c>
      <c r="S18" s="26">
        <v>100</v>
      </c>
      <c r="T18" s="26">
        <v>80</v>
      </c>
      <c r="U18" s="26">
        <v>100</v>
      </c>
      <c r="V18" s="26">
        <v>100</v>
      </c>
      <c r="W18" s="26">
        <v>100</v>
      </c>
      <c r="X18" s="26">
        <v>80</v>
      </c>
      <c r="Y18" s="30">
        <f>SUM(R18:X18)</f>
        <v>1140</v>
      </c>
      <c r="Z18" s="31">
        <f>Y18*2500</f>
        <v>2850000</v>
      </c>
      <c r="AA18" s="32"/>
      <c r="AB18" s="2"/>
      <c r="AC18" s="2"/>
      <c r="AD18" s="2"/>
      <c r="AE18" s="2"/>
      <c r="AF18" s="2"/>
      <c r="AG18" s="2"/>
      <c r="AH18" s="2"/>
      <c r="AI18" s="2"/>
    </row>
    <row r="19" spans="1:35" ht="19.5" x14ac:dyDescent="0.45">
      <c r="A19" s="242"/>
      <c r="B19" s="253"/>
      <c r="C19" s="255"/>
      <c r="D19" s="257"/>
      <c r="E19" s="60" t="s">
        <v>42</v>
      </c>
      <c r="F19" s="72" t="s">
        <v>53</v>
      </c>
      <c r="G19" s="72" t="s">
        <v>53</v>
      </c>
      <c r="H19" s="72" t="s">
        <v>53</v>
      </c>
      <c r="I19" s="24"/>
      <c r="J19" s="24"/>
      <c r="K19" s="25"/>
      <c r="L19" s="39">
        <v>74</v>
      </c>
      <c r="M19" s="39">
        <v>72</v>
      </c>
      <c r="N19" s="73">
        <v>208</v>
      </c>
      <c r="O19" s="35">
        <v>10</v>
      </c>
      <c r="P19" s="36" t="s">
        <v>36</v>
      </c>
      <c r="Q19" s="34"/>
      <c r="R19" s="74">
        <f>SUM(L19:Q19)</f>
        <v>364</v>
      </c>
      <c r="S19" s="26"/>
      <c r="T19" s="26"/>
      <c r="U19" s="39">
        <v>8</v>
      </c>
      <c r="V19" s="39">
        <f>7+8</f>
        <v>15</v>
      </c>
      <c r="W19" s="39"/>
      <c r="X19" s="39"/>
      <c r="Y19" s="40">
        <f t="shared" si="3"/>
        <v>387</v>
      </c>
      <c r="Z19" s="41">
        <f>Y19*2650</f>
        <v>1025550</v>
      </c>
      <c r="AA19" s="32"/>
      <c r="AB19" s="2"/>
      <c r="AC19" s="2"/>
      <c r="AD19" s="2"/>
      <c r="AE19" s="2"/>
      <c r="AF19" s="2"/>
      <c r="AG19" s="2"/>
      <c r="AH19" s="2"/>
      <c r="AI19" s="2"/>
    </row>
    <row r="20" spans="1:35" ht="19.5" x14ac:dyDescent="0.45">
      <c r="A20" s="241">
        <v>9</v>
      </c>
      <c r="B20" s="243" t="s">
        <v>55</v>
      </c>
      <c r="C20" s="245" t="s">
        <v>47</v>
      </c>
      <c r="D20" s="247" t="s">
        <v>35</v>
      </c>
      <c r="E20" s="63" t="s">
        <v>31</v>
      </c>
      <c r="F20" s="72" t="s">
        <v>53</v>
      </c>
      <c r="G20" s="72" t="s">
        <v>53</v>
      </c>
      <c r="H20" s="72" t="s">
        <v>53</v>
      </c>
      <c r="I20" s="24"/>
      <c r="J20" s="24"/>
      <c r="K20" s="25"/>
      <c r="L20" s="26" t="s">
        <v>36</v>
      </c>
      <c r="M20" s="26" t="s">
        <v>36</v>
      </c>
      <c r="N20" s="27" t="s">
        <v>36</v>
      </c>
      <c r="O20" s="27" t="s">
        <v>36</v>
      </c>
      <c r="P20" s="36" t="s">
        <v>36</v>
      </c>
      <c r="Q20" s="26" t="s">
        <v>36</v>
      </c>
      <c r="R20" s="29">
        <f t="shared" ref="R20" si="14">SUM(L20:Q20)</f>
        <v>0</v>
      </c>
      <c r="S20" s="26" t="s">
        <v>36</v>
      </c>
      <c r="T20" s="26" t="s">
        <v>36</v>
      </c>
      <c r="U20" s="26" t="s">
        <v>36</v>
      </c>
      <c r="V20" s="26" t="s">
        <v>36</v>
      </c>
      <c r="W20" s="26" t="s">
        <v>36</v>
      </c>
      <c r="X20" s="26" t="s">
        <v>36</v>
      </c>
      <c r="Y20" s="30">
        <f>SUM(R20:X20)</f>
        <v>0</v>
      </c>
      <c r="Z20" s="31">
        <f>Y20*2500</f>
        <v>0</v>
      </c>
      <c r="AA20" s="32"/>
      <c r="AB20" s="2"/>
      <c r="AC20" s="2"/>
      <c r="AD20" s="2"/>
      <c r="AE20" s="2"/>
      <c r="AF20" s="2"/>
      <c r="AG20" s="2"/>
      <c r="AH20" s="2"/>
      <c r="AI20" s="2"/>
    </row>
    <row r="21" spans="1:35" ht="19.5" x14ac:dyDescent="0.45">
      <c r="A21" s="242"/>
      <c r="B21" s="244"/>
      <c r="C21" s="246"/>
      <c r="D21" s="248"/>
      <c r="E21" s="60" t="s">
        <v>42</v>
      </c>
      <c r="F21" s="72" t="s">
        <v>53</v>
      </c>
      <c r="G21" s="72" t="s">
        <v>53</v>
      </c>
      <c r="H21" s="72" t="s">
        <v>53</v>
      </c>
      <c r="I21" s="24"/>
      <c r="J21" s="24"/>
      <c r="K21" s="25"/>
      <c r="L21" s="39" t="s">
        <v>36</v>
      </c>
      <c r="M21" s="39" t="s">
        <v>36</v>
      </c>
      <c r="N21" s="73">
        <v>85</v>
      </c>
      <c r="O21" s="73" t="s">
        <v>36</v>
      </c>
      <c r="P21" s="36" t="s">
        <v>36</v>
      </c>
      <c r="Q21" s="34"/>
      <c r="R21" s="37">
        <f>SUM(L21:Q21)</f>
        <v>85</v>
      </c>
      <c r="S21" s="26"/>
      <c r="T21" s="26"/>
      <c r="U21" s="26"/>
      <c r="V21" s="26"/>
      <c r="W21" s="26"/>
      <c r="X21" s="26"/>
      <c r="Y21" s="40">
        <f t="shared" ref="Y21" si="15">SUM(R21:X21)</f>
        <v>85</v>
      </c>
      <c r="Z21" s="41">
        <f>Y21*2650</f>
        <v>225250</v>
      </c>
      <c r="AA21" s="32"/>
      <c r="AB21" s="2"/>
      <c r="AC21" s="2"/>
      <c r="AD21" s="2"/>
      <c r="AE21" s="2"/>
      <c r="AF21" s="2"/>
      <c r="AG21" s="2"/>
      <c r="AH21" s="2"/>
      <c r="AI21" s="2"/>
    </row>
    <row r="22" spans="1:35" ht="19.5" x14ac:dyDescent="0.45">
      <c r="A22" s="241">
        <v>10</v>
      </c>
      <c r="B22" s="243" t="s">
        <v>56</v>
      </c>
      <c r="C22" s="245" t="s">
        <v>47</v>
      </c>
      <c r="D22" s="247" t="s">
        <v>35</v>
      </c>
      <c r="E22" s="63" t="s">
        <v>31</v>
      </c>
      <c r="F22" s="72" t="s">
        <v>53</v>
      </c>
      <c r="G22" s="72" t="s">
        <v>53</v>
      </c>
      <c r="H22" s="72" t="s">
        <v>53</v>
      </c>
      <c r="I22" s="24"/>
      <c r="J22" s="24"/>
      <c r="K22" s="25"/>
      <c r="L22" s="26" t="s">
        <v>36</v>
      </c>
      <c r="M22" s="26" t="s">
        <v>36</v>
      </c>
      <c r="N22" s="27" t="s">
        <v>36</v>
      </c>
      <c r="O22" s="27" t="s">
        <v>36</v>
      </c>
      <c r="P22" s="36" t="s">
        <v>36</v>
      </c>
      <c r="Q22" s="26" t="s">
        <v>36</v>
      </c>
      <c r="R22" s="29">
        <f t="shared" ref="R22" si="16">SUM(L22:Q22)</f>
        <v>0</v>
      </c>
      <c r="S22" s="26" t="s">
        <v>36</v>
      </c>
      <c r="T22" s="26" t="s">
        <v>36</v>
      </c>
      <c r="U22" s="26" t="s">
        <v>36</v>
      </c>
      <c r="V22" s="26" t="s">
        <v>36</v>
      </c>
      <c r="W22" s="26" t="s">
        <v>36</v>
      </c>
      <c r="X22" s="26" t="s">
        <v>36</v>
      </c>
      <c r="Y22" s="30">
        <f>SUM(R22:X22)</f>
        <v>0</v>
      </c>
      <c r="Z22" s="31">
        <f>Y22*2500</f>
        <v>0</v>
      </c>
      <c r="AA22" s="32"/>
      <c r="AB22" s="2"/>
      <c r="AC22" s="2"/>
      <c r="AD22" s="2"/>
      <c r="AE22" s="2"/>
      <c r="AF22" s="2"/>
      <c r="AG22" s="2"/>
      <c r="AH22" s="2"/>
      <c r="AI22" s="2"/>
    </row>
    <row r="23" spans="1:35" ht="19.5" x14ac:dyDescent="0.45">
      <c r="A23" s="242"/>
      <c r="B23" s="244"/>
      <c r="C23" s="246"/>
      <c r="D23" s="248"/>
      <c r="E23" s="60" t="s">
        <v>42</v>
      </c>
      <c r="F23" s="72" t="s">
        <v>53</v>
      </c>
      <c r="G23" s="72" t="s">
        <v>53</v>
      </c>
      <c r="H23" s="72" t="s">
        <v>53</v>
      </c>
      <c r="I23" s="24"/>
      <c r="J23" s="24"/>
      <c r="K23" s="25"/>
      <c r="L23" s="39" t="s">
        <v>36</v>
      </c>
      <c r="M23" s="39" t="s">
        <v>36</v>
      </c>
      <c r="N23" s="73" t="s">
        <v>36</v>
      </c>
      <c r="O23" s="73" t="s">
        <v>36</v>
      </c>
      <c r="P23" s="75">
        <v>110</v>
      </c>
      <c r="Q23" s="34" t="s">
        <v>36</v>
      </c>
      <c r="R23" s="37">
        <f>SUM(L23:Q23)</f>
        <v>110</v>
      </c>
      <c r="S23" s="26"/>
      <c r="T23" s="39">
        <f>50+7.5+20</f>
        <v>77.5</v>
      </c>
      <c r="U23" s="26"/>
      <c r="V23" s="26"/>
      <c r="W23" s="26"/>
      <c r="X23" s="26"/>
      <c r="Y23" s="40">
        <f>SUM(R23:X23)</f>
        <v>187.5</v>
      </c>
      <c r="Z23" s="41">
        <f>Y23*2650</f>
        <v>496875</v>
      </c>
      <c r="AA23" s="32"/>
      <c r="AB23" s="2"/>
      <c r="AC23" s="2"/>
      <c r="AD23" s="2"/>
      <c r="AE23" s="2"/>
      <c r="AF23" s="2"/>
      <c r="AG23" s="2"/>
      <c r="AH23" s="2"/>
      <c r="AI23" s="2"/>
    </row>
    <row r="24" spans="1:35" ht="19.5" x14ac:dyDescent="0.45">
      <c r="A24" s="206">
        <v>11</v>
      </c>
      <c r="B24" s="225" t="s">
        <v>57</v>
      </c>
      <c r="C24" s="250" t="s">
        <v>47</v>
      </c>
      <c r="D24" s="211" t="s">
        <v>35</v>
      </c>
      <c r="E24" s="76" t="s">
        <v>31</v>
      </c>
      <c r="F24" s="77" t="s">
        <v>53</v>
      </c>
      <c r="G24" s="77" t="s">
        <v>53</v>
      </c>
      <c r="H24" s="77" t="s">
        <v>53</v>
      </c>
      <c r="I24" s="78"/>
      <c r="J24" s="78"/>
      <c r="K24" s="79"/>
      <c r="L24" s="80" t="s">
        <v>36</v>
      </c>
      <c r="M24" s="80" t="s">
        <v>36</v>
      </c>
      <c r="N24" s="81" t="s">
        <v>36</v>
      </c>
      <c r="O24" s="81" t="s">
        <v>36</v>
      </c>
      <c r="P24" s="82" t="s">
        <v>36</v>
      </c>
      <c r="Q24" s="80" t="s">
        <v>36</v>
      </c>
      <c r="R24" s="83">
        <f t="shared" ref="R24" si="17">SUM(L24:Q24)</f>
        <v>0</v>
      </c>
      <c r="S24" s="26" t="s">
        <v>36</v>
      </c>
      <c r="T24" s="26" t="s">
        <v>36</v>
      </c>
      <c r="U24" s="26" t="s">
        <v>36</v>
      </c>
      <c r="V24" s="26" t="s">
        <v>36</v>
      </c>
      <c r="W24" s="26" t="s">
        <v>36</v>
      </c>
      <c r="X24" s="26" t="s">
        <v>36</v>
      </c>
      <c r="Y24" s="30">
        <f>SUM(R24:X24)</f>
        <v>0</v>
      </c>
      <c r="Z24" s="31">
        <f>Y24*2500</f>
        <v>0</v>
      </c>
      <c r="AA24" s="32"/>
      <c r="AB24" s="2"/>
      <c r="AC24" s="2"/>
      <c r="AD24" s="2"/>
      <c r="AE24" s="2"/>
      <c r="AF24" s="2"/>
      <c r="AG24" s="2"/>
      <c r="AH24" s="2"/>
      <c r="AI24" s="2"/>
    </row>
    <row r="25" spans="1:35" ht="19.5" x14ac:dyDescent="0.45">
      <c r="A25" s="207"/>
      <c r="B25" s="249"/>
      <c r="C25" s="251"/>
      <c r="D25" s="212"/>
      <c r="E25" s="78" t="s">
        <v>42</v>
      </c>
      <c r="F25" s="77" t="s">
        <v>53</v>
      </c>
      <c r="G25" s="77" t="s">
        <v>53</v>
      </c>
      <c r="H25" s="77" t="s">
        <v>53</v>
      </c>
      <c r="I25" s="78"/>
      <c r="J25" s="78"/>
      <c r="K25" s="79"/>
      <c r="L25" s="80" t="s">
        <v>36</v>
      </c>
      <c r="M25" s="80" t="s">
        <v>36</v>
      </c>
      <c r="N25" s="81" t="s">
        <v>36</v>
      </c>
      <c r="O25" s="81" t="s">
        <v>36</v>
      </c>
      <c r="P25" s="82"/>
      <c r="Q25" s="84" t="s">
        <v>36</v>
      </c>
      <c r="R25" s="85">
        <f>SUM(L25:Q25)</f>
        <v>0</v>
      </c>
      <c r="S25" s="26"/>
      <c r="T25" s="39"/>
      <c r="U25" s="26"/>
      <c r="V25" s="39">
        <v>43</v>
      </c>
      <c r="W25" s="26"/>
      <c r="X25" s="26"/>
      <c r="Y25" s="40">
        <f>SUM(R25:X25)</f>
        <v>43</v>
      </c>
      <c r="Z25" s="41">
        <f>Y25*2650</f>
        <v>113950</v>
      </c>
      <c r="AA25" s="32"/>
      <c r="AB25" s="2"/>
      <c r="AC25" s="2"/>
      <c r="AD25" s="2"/>
      <c r="AE25" s="2"/>
      <c r="AF25" s="2"/>
      <c r="AG25" s="2"/>
      <c r="AH25" s="2"/>
      <c r="AI25" s="2"/>
    </row>
    <row r="26" spans="1:35" ht="19.5" x14ac:dyDescent="0.45">
      <c r="A26" s="206">
        <v>12</v>
      </c>
      <c r="B26" s="225" t="s">
        <v>58</v>
      </c>
      <c r="C26" s="239" t="s">
        <v>47</v>
      </c>
      <c r="D26" s="211" t="s">
        <v>35</v>
      </c>
      <c r="E26" s="63" t="s">
        <v>31</v>
      </c>
      <c r="F26" s="64"/>
      <c r="G26" s="65"/>
      <c r="H26" s="66"/>
      <c r="I26" s="23"/>
      <c r="J26" s="23"/>
      <c r="K26" s="67"/>
      <c r="L26" s="26" t="s">
        <v>36</v>
      </c>
      <c r="M26" s="26" t="s">
        <v>36</v>
      </c>
      <c r="N26" s="42">
        <v>150</v>
      </c>
      <c r="O26" s="42">
        <v>250</v>
      </c>
      <c r="P26" s="42">
        <v>150</v>
      </c>
      <c r="Q26" s="42">
        <v>0</v>
      </c>
      <c r="R26" s="29">
        <f t="shared" si="1"/>
        <v>550</v>
      </c>
      <c r="S26" s="53">
        <v>0</v>
      </c>
      <c r="T26" s="53">
        <v>0</v>
      </c>
      <c r="U26" s="53">
        <v>150</v>
      </c>
      <c r="V26" s="53">
        <v>250</v>
      </c>
      <c r="W26" s="26">
        <v>150</v>
      </c>
      <c r="X26" s="26">
        <v>0</v>
      </c>
      <c r="Y26" s="30">
        <f>SUM(R26:X26)</f>
        <v>1100</v>
      </c>
      <c r="Z26" s="31">
        <f t="shared" ref="Z26:Z35" si="18">Y26*2500</f>
        <v>2750000</v>
      </c>
      <c r="AA26" s="32"/>
      <c r="AB26" s="2"/>
      <c r="AC26" s="2"/>
      <c r="AD26" s="2"/>
      <c r="AE26" s="2"/>
      <c r="AF26" s="2"/>
      <c r="AG26" s="2"/>
      <c r="AH26" s="2"/>
      <c r="AI26" s="2"/>
    </row>
    <row r="27" spans="1:35" ht="19.5" x14ac:dyDescent="0.45">
      <c r="A27" s="207"/>
      <c r="B27" s="226"/>
      <c r="C27" s="239"/>
      <c r="D27" s="224"/>
      <c r="E27" s="60" t="s">
        <v>42</v>
      </c>
      <c r="F27" s="64"/>
      <c r="G27" s="65"/>
      <c r="H27" s="66"/>
      <c r="I27" s="23"/>
      <c r="J27" s="23"/>
      <c r="K27" s="67"/>
      <c r="L27" s="39" t="s">
        <v>36</v>
      </c>
      <c r="M27" s="39" t="s">
        <v>36</v>
      </c>
      <c r="N27" s="57" t="s">
        <v>36</v>
      </c>
      <c r="O27" s="57" t="s">
        <v>36</v>
      </c>
      <c r="P27" s="57"/>
      <c r="Q27" s="57"/>
      <c r="R27" s="37">
        <f>SUM(L27:Q27)</f>
        <v>0</v>
      </c>
      <c r="S27" s="62"/>
      <c r="T27" s="53"/>
      <c r="U27" s="53"/>
      <c r="V27" s="53"/>
      <c r="W27" s="26"/>
      <c r="X27" s="26"/>
      <c r="Y27" s="40">
        <f t="shared" si="3"/>
        <v>0</v>
      </c>
      <c r="Z27" s="41">
        <f t="shared" si="18"/>
        <v>0</v>
      </c>
      <c r="AA27" s="32"/>
      <c r="AB27" s="2"/>
      <c r="AC27" s="2"/>
      <c r="AD27" s="2"/>
      <c r="AE27" s="2"/>
      <c r="AF27" s="2"/>
      <c r="AG27" s="2"/>
      <c r="AH27" s="2"/>
      <c r="AI27" s="2"/>
    </row>
    <row r="28" spans="1:35" ht="19.5" x14ac:dyDescent="0.45">
      <c r="A28" s="206">
        <v>13</v>
      </c>
      <c r="B28" s="225" t="s">
        <v>59</v>
      </c>
      <c r="C28" s="240" t="s">
        <v>47</v>
      </c>
      <c r="D28" s="211" t="s">
        <v>35</v>
      </c>
      <c r="E28" s="63" t="s">
        <v>31</v>
      </c>
      <c r="F28" s="64"/>
      <c r="G28" s="65"/>
      <c r="H28" s="66"/>
      <c r="I28" s="23"/>
      <c r="J28" s="23"/>
      <c r="K28" s="67"/>
      <c r="L28" s="26" t="s">
        <v>36</v>
      </c>
      <c r="M28" s="26" t="s">
        <v>36</v>
      </c>
      <c r="N28" s="27" t="s">
        <v>36</v>
      </c>
      <c r="O28" s="27" t="s">
        <v>36</v>
      </c>
      <c r="P28" s="36" t="s">
        <v>36</v>
      </c>
      <c r="Q28" s="26" t="s">
        <v>36</v>
      </c>
      <c r="R28" s="29" t="s">
        <v>36</v>
      </c>
      <c r="S28" s="53">
        <v>50</v>
      </c>
      <c r="T28" s="53">
        <v>30</v>
      </c>
      <c r="U28" s="53">
        <v>50</v>
      </c>
      <c r="V28" s="53">
        <v>50</v>
      </c>
      <c r="W28" s="26">
        <v>50</v>
      </c>
      <c r="X28" s="26">
        <v>30</v>
      </c>
      <c r="Y28" s="30">
        <f>SUM(R28:X28)</f>
        <v>260</v>
      </c>
      <c r="Z28" s="31">
        <f t="shared" si="18"/>
        <v>650000</v>
      </c>
      <c r="AA28" s="32"/>
      <c r="AB28" s="2"/>
      <c r="AC28" s="2"/>
      <c r="AD28" s="2"/>
      <c r="AE28" s="2"/>
      <c r="AF28" s="2"/>
      <c r="AG28" s="2"/>
      <c r="AH28" s="2"/>
      <c r="AI28" s="2"/>
    </row>
    <row r="29" spans="1:35" ht="19.5" x14ac:dyDescent="0.45">
      <c r="A29" s="207"/>
      <c r="B29" s="226"/>
      <c r="C29" s="228"/>
      <c r="D29" s="224"/>
      <c r="E29" s="60" t="s">
        <v>42</v>
      </c>
      <c r="F29" s="64"/>
      <c r="G29" s="65"/>
      <c r="H29" s="66"/>
      <c r="I29" s="23"/>
      <c r="J29" s="23"/>
      <c r="K29" s="67"/>
      <c r="L29" s="39" t="s">
        <v>36</v>
      </c>
      <c r="M29" s="39" t="s">
        <v>36</v>
      </c>
      <c r="N29" s="73" t="s">
        <v>36</v>
      </c>
      <c r="O29" s="73" t="s">
        <v>36</v>
      </c>
      <c r="P29" s="36" t="s">
        <v>36</v>
      </c>
      <c r="Q29" s="39"/>
      <c r="R29" s="86"/>
      <c r="S29" s="87"/>
      <c r="T29" s="88"/>
      <c r="U29" s="88"/>
      <c r="V29" s="88"/>
      <c r="W29" s="80"/>
      <c r="X29" s="80"/>
      <c r="Y29" s="40">
        <f t="shared" ref="Y29" si="19">SUM(R29:X29)</f>
        <v>0</v>
      </c>
      <c r="Z29" s="41">
        <f t="shared" si="18"/>
        <v>0</v>
      </c>
      <c r="AA29" s="32"/>
      <c r="AB29" s="2"/>
      <c r="AC29" s="2"/>
      <c r="AD29" s="2"/>
      <c r="AE29" s="2"/>
      <c r="AF29" s="2"/>
      <c r="AG29" s="2"/>
      <c r="AH29" s="2"/>
      <c r="AI29" s="2"/>
    </row>
    <row r="30" spans="1:35" ht="19.5" x14ac:dyDescent="0.45">
      <c r="A30" s="206">
        <v>14</v>
      </c>
      <c r="B30" s="225" t="s">
        <v>60</v>
      </c>
      <c r="C30" s="227" t="s">
        <v>47</v>
      </c>
      <c r="D30" s="211" t="s">
        <v>35</v>
      </c>
      <c r="E30" s="63" t="s">
        <v>31</v>
      </c>
      <c r="F30" s="64"/>
      <c r="G30" s="65"/>
      <c r="H30" s="66"/>
      <c r="I30" s="23"/>
      <c r="J30" s="23"/>
      <c r="K30" s="67"/>
      <c r="L30" s="26" t="s">
        <v>36</v>
      </c>
      <c r="M30" s="26" t="s">
        <v>36</v>
      </c>
      <c r="N30" s="27" t="s">
        <v>36</v>
      </c>
      <c r="O30" s="27" t="s">
        <v>36</v>
      </c>
      <c r="P30" s="36" t="s">
        <v>36</v>
      </c>
      <c r="Q30" s="26" t="s">
        <v>36</v>
      </c>
      <c r="R30" s="29" t="s">
        <v>61</v>
      </c>
      <c r="S30" s="26" t="s">
        <v>36</v>
      </c>
      <c r="T30" s="89" t="s">
        <v>36</v>
      </c>
      <c r="U30" s="89">
        <v>30</v>
      </c>
      <c r="V30" s="89">
        <v>40</v>
      </c>
      <c r="W30" s="89">
        <v>40</v>
      </c>
      <c r="X30" s="89">
        <v>20</v>
      </c>
      <c r="Y30" s="30">
        <f>SUM(R30:X30)</f>
        <v>130</v>
      </c>
      <c r="Z30" s="31">
        <f t="shared" si="18"/>
        <v>325000</v>
      </c>
      <c r="AA30" s="32"/>
      <c r="AB30" s="2"/>
      <c r="AC30" s="2"/>
      <c r="AD30" s="2"/>
      <c r="AE30" s="2"/>
      <c r="AF30" s="2"/>
      <c r="AG30" s="2"/>
      <c r="AH30" s="2"/>
      <c r="AI30" s="2"/>
    </row>
    <row r="31" spans="1:35" ht="19.5" x14ac:dyDescent="0.45">
      <c r="A31" s="207"/>
      <c r="B31" s="226"/>
      <c r="C31" s="228"/>
      <c r="D31" s="224"/>
      <c r="E31" s="60" t="s">
        <v>42</v>
      </c>
      <c r="F31" s="64"/>
      <c r="G31" s="65"/>
      <c r="H31" s="66"/>
      <c r="I31" s="23"/>
      <c r="J31" s="23"/>
      <c r="K31" s="67"/>
      <c r="L31" s="39" t="s">
        <v>36</v>
      </c>
      <c r="M31" s="39" t="s">
        <v>36</v>
      </c>
      <c r="N31" s="73" t="s">
        <v>36</v>
      </c>
      <c r="O31" s="73" t="s">
        <v>36</v>
      </c>
      <c r="P31" s="36" t="s">
        <v>36</v>
      </c>
      <c r="Q31" s="39"/>
      <c r="R31" s="86"/>
      <c r="S31" s="71"/>
      <c r="T31" s="26"/>
      <c r="U31" s="26"/>
      <c r="V31" s="39">
        <f>43+35.5</f>
        <v>78.5</v>
      </c>
      <c r="W31" s="39">
        <f>92+48</f>
        <v>140</v>
      </c>
      <c r="X31" s="26"/>
      <c r="Y31" s="40">
        <f t="shared" ref="Y31" si="20">SUM(R31:X31)</f>
        <v>218.5</v>
      </c>
      <c r="Z31" s="41">
        <f>Y31*2650</f>
        <v>579025</v>
      </c>
      <c r="AA31" s="32"/>
      <c r="AB31" s="2"/>
      <c r="AC31" s="2"/>
      <c r="AD31" s="2"/>
      <c r="AE31" s="2"/>
      <c r="AF31" s="2"/>
      <c r="AG31" s="2"/>
      <c r="AH31" s="2"/>
      <c r="AI31" s="2"/>
    </row>
    <row r="32" spans="1:35" ht="19.5" x14ac:dyDescent="0.45">
      <c r="A32" s="237">
        <v>15</v>
      </c>
      <c r="B32" s="220" t="s">
        <v>62</v>
      </c>
      <c r="C32" s="227" t="s">
        <v>47</v>
      </c>
      <c r="D32" s="238" t="s">
        <v>35</v>
      </c>
      <c r="E32" s="90" t="s">
        <v>31</v>
      </c>
      <c r="F32" s="64"/>
      <c r="G32" s="65"/>
      <c r="H32" s="66"/>
      <c r="I32" s="23"/>
      <c r="J32" s="23"/>
      <c r="K32" s="67"/>
      <c r="L32" s="91" t="s">
        <v>36</v>
      </c>
      <c r="M32" s="91" t="s">
        <v>36</v>
      </c>
      <c r="N32" s="92" t="s">
        <v>36</v>
      </c>
      <c r="O32" s="92" t="s">
        <v>36</v>
      </c>
      <c r="P32" s="36" t="s">
        <v>36</v>
      </c>
      <c r="Q32" s="91" t="s">
        <v>36</v>
      </c>
      <c r="R32" s="74" t="s">
        <v>61</v>
      </c>
      <c r="S32" s="91" t="s">
        <v>36</v>
      </c>
      <c r="T32" s="26" t="s">
        <v>36</v>
      </c>
      <c r="U32" s="91" t="s">
        <v>36</v>
      </c>
      <c r="V32" s="91" t="s">
        <v>36</v>
      </c>
      <c r="W32" s="91" t="s">
        <v>36</v>
      </c>
      <c r="X32" s="91" t="s">
        <v>36</v>
      </c>
      <c r="Y32" s="93">
        <f>SUM(R32:X32)</f>
        <v>0</v>
      </c>
      <c r="Z32" s="31">
        <f>Y32*2500</f>
        <v>0</v>
      </c>
      <c r="AA32" s="32"/>
      <c r="AB32" s="2"/>
      <c r="AC32" s="2"/>
      <c r="AD32" s="2"/>
      <c r="AE32" s="2"/>
      <c r="AF32" s="2"/>
      <c r="AG32" s="2"/>
      <c r="AH32" s="2"/>
      <c r="AI32" s="2"/>
    </row>
    <row r="33" spans="1:35" ht="19.5" x14ac:dyDescent="0.45">
      <c r="A33" s="207"/>
      <c r="B33" s="221"/>
      <c r="C33" s="228"/>
      <c r="D33" s="224"/>
      <c r="E33" s="94" t="s">
        <v>42</v>
      </c>
      <c r="F33" s="64"/>
      <c r="G33" s="65"/>
      <c r="H33" s="66"/>
      <c r="I33" s="23"/>
      <c r="J33" s="23"/>
      <c r="K33" s="67"/>
      <c r="L33" s="39" t="s">
        <v>36</v>
      </c>
      <c r="M33" s="39" t="s">
        <v>36</v>
      </c>
      <c r="N33" s="73" t="s">
        <v>36</v>
      </c>
      <c r="O33" s="73" t="s">
        <v>36</v>
      </c>
      <c r="P33" s="36" t="s">
        <v>36</v>
      </c>
      <c r="Q33" s="39"/>
      <c r="R33" s="86"/>
      <c r="S33" s="71"/>
      <c r="T33" s="26"/>
      <c r="U33" s="26"/>
      <c r="V33" s="39"/>
      <c r="W33" s="39">
        <f>8*5</f>
        <v>40</v>
      </c>
      <c r="X33" s="26"/>
      <c r="Y33" s="95">
        <f>SUM(R33:X33)</f>
        <v>40</v>
      </c>
      <c r="Z33" s="41">
        <f>Y33*3000</f>
        <v>120000</v>
      </c>
      <c r="AA33" s="32"/>
      <c r="AB33" s="2"/>
      <c r="AC33" s="2"/>
      <c r="AD33" s="2"/>
      <c r="AE33" s="2"/>
      <c r="AF33" s="2"/>
      <c r="AG33" s="2"/>
      <c r="AH33" s="2"/>
      <c r="AI33" s="2"/>
    </row>
    <row r="34" spans="1:35" ht="19.5" x14ac:dyDescent="0.45">
      <c r="A34" s="206">
        <v>16</v>
      </c>
      <c r="B34" s="225" t="s">
        <v>63</v>
      </c>
      <c r="C34" s="227" t="s">
        <v>64</v>
      </c>
      <c r="D34" s="211" t="s">
        <v>39</v>
      </c>
      <c r="E34" s="63" t="s">
        <v>31</v>
      </c>
      <c r="F34" s="64"/>
      <c r="G34" s="65"/>
      <c r="H34" s="66"/>
      <c r="I34" s="23"/>
      <c r="J34" s="23"/>
      <c r="K34" s="67"/>
      <c r="L34" s="26" t="s">
        <v>36</v>
      </c>
      <c r="M34" s="26" t="s">
        <v>36</v>
      </c>
      <c r="N34" s="27" t="s">
        <v>36</v>
      </c>
      <c r="O34" s="27" t="s">
        <v>36</v>
      </c>
      <c r="P34" s="36" t="s">
        <v>36</v>
      </c>
      <c r="Q34" s="26" t="s">
        <v>36</v>
      </c>
      <c r="R34" s="29" t="s">
        <v>61</v>
      </c>
      <c r="S34" s="68">
        <v>100</v>
      </c>
      <c r="T34" s="68">
        <v>80</v>
      </c>
      <c r="U34" s="68">
        <v>100</v>
      </c>
      <c r="V34" s="68">
        <v>100</v>
      </c>
      <c r="W34" s="68">
        <v>100</v>
      </c>
      <c r="X34" s="68">
        <v>80</v>
      </c>
      <c r="Y34" s="95">
        <f>SUM(R34:X34)</f>
        <v>560</v>
      </c>
      <c r="Z34" s="31">
        <f t="shared" si="18"/>
        <v>1400000</v>
      </c>
      <c r="AA34" s="32"/>
      <c r="AB34" s="2"/>
      <c r="AC34" s="2"/>
      <c r="AD34" s="2"/>
      <c r="AE34" s="2"/>
      <c r="AF34" s="2"/>
      <c r="AG34" s="2"/>
      <c r="AH34" s="2"/>
      <c r="AI34" s="2"/>
    </row>
    <row r="35" spans="1:35" ht="19.5" x14ac:dyDescent="0.45">
      <c r="A35" s="207"/>
      <c r="B35" s="226"/>
      <c r="C35" s="228"/>
      <c r="D35" s="212"/>
      <c r="E35" s="60" t="s">
        <v>42</v>
      </c>
      <c r="F35" s="64"/>
      <c r="G35" s="65"/>
      <c r="H35" s="66"/>
      <c r="I35" s="23"/>
      <c r="J35" s="23"/>
      <c r="K35" s="67"/>
      <c r="L35" s="39" t="s">
        <v>36</v>
      </c>
      <c r="M35" s="39" t="s">
        <v>36</v>
      </c>
      <c r="N35" s="73" t="s">
        <v>36</v>
      </c>
      <c r="O35" s="73" t="s">
        <v>36</v>
      </c>
      <c r="P35" s="36" t="s">
        <v>36</v>
      </c>
      <c r="Q35" s="39"/>
      <c r="R35" s="86"/>
      <c r="S35" s="71"/>
      <c r="T35" s="26"/>
      <c r="U35" s="26"/>
      <c r="V35" s="26"/>
      <c r="W35" s="26"/>
      <c r="X35" s="26"/>
      <c r="Y35" s="40">
        <f t="shared" ref="Y35" si="21">SUM(R35:X35)</f>
        <v>0</v>
      </c>
      <c r="Z35" s="41">
        <f t="shared" si="18"/>
        <v>0</v>
      </c>
      <c r="AA35" s="32"/>
      <c r="AB35" s="2"/>
      <c r="AC35" s="2"/>
      <c r="AD35" s="2"/>
      <c r="AE35" s="2"/>
      <c r="AF35" s="2"/>
      <c r="AG35" s="2"/>
      <c r="AH35" s="2"/>
      <c r="AI35" s="2"/>
    </row>
    <row r="36" spans="1:35" ht="19.5" x14ac:dyDescent="0.45">
      <c r="A36" s="229">
        <v>16</v>
      </c>
      <c r="B36" s="231" t="s">
        <v>65</v>
      </c>
      <c r="C36" s="233" t="s">
        <v>66</v>
      </c>
      <c r="D36" s="235" t="s">
        <v>35</v>
      </c>
      <c r="E36" s="97" t="s">
        <v>31</v>
      </c>
      <c r="F36" s="98"/>
      <c r="G36" s="99"/>
      <c r="H36" s="100"/>
      <c r="I36" s="96"/>
      <c r="J36" s="96"/>
      <c r="K36" s="101"/>
      <c r="L36" s="102" t="s">
        <v>36</v>
      </c>
      <c r="M36" s="102" t="s">
        <v>36</v>
      </c>
      <c r="N36" s="103" t="s">
        <v>36</v>
      </c>
      <c r="O36" s="103" t="s">
        <v>36</v>
      </c>
      <c r="P36" s="104" t="s">
        <v>36</v>
      </c>
      <c r="Q36" s="102" t="s">
        <v>36</v>
      </c>
      <c r="R36" s="105" t="s">
        <v>61</v>
      </c>
      <c r="S36" s="102" t="s">
        <v>36</v>
      </c>
      <c r="T36" s="102" t="s">
        <v>36</v>
      </c>
      <c r="U36" s="102" t="s">
        <v>36</v>
      </c>
      <c r="V36" s="102" t="s">
        <v>36</v>
      </c>
      <c r="W36" s="102" t="s">
        <v>36</v>
      </c>
      <c r="X36" s="102" t="s">
        <v>36</v>
      </c>
      <c r="Y36" s="106">
        <f>SUM(R36:X36)</f>
        <v>0</v>
      </c>
      <c r="Z36" s="107"/>
      <c r="AA36" s="108"/>
      <c r="AB36" s="109"/>
      <c r="AC36" s="109"/>
      <c r="AD36" s="109"/>
      <c r="AE36" s="109"/>
      <c r="AF36" s="109"/>
      <c r="AG36" s="109"/>
      <c r="AH36" s="109"/>
      <c r="AI36" s="109"/>
    </row>
    <row r="37" spans="1:35" ht="19.5" x14ac:dyDescent="0.45">
      <c r="A37" s="230"/>
      <c r="B37" s="232"/>
      <c r="C37" s="234"/>
      <c r="D37" s="236"/>
      <c r="E37" s="110" t="s">
        <v>42</v>
      </c>
      <c r="F37" s="98"/>
      <c r="G37" s="99"/>
      <c r="H37" s="100"/>
      <c r="I37" s="96"/>
      <c r="J37" s="96"/>
      <c r="K37" s="101"/>
      <c r="L37" s="102" t="s">
        <v>36</v>
      </c>
      <c r="M37" s="102" t="s">
        <v>36</v>
      </c>
      <c r="N37" s="103" t="s">
        <v>36</v>
      </c>
      <c r="O37" s="103" t="s">
        <v>36</v>
      </c>
      <c r="P37" s="104"/>
      <c r="Q37" s="102"/>
      <c r="R37" s="111"/>
      <c r="S37" s="112"/>
      <c r="T37" s="102"/>
      <c r="U37" s="102"/>
      <c r="V37" s="102"/>
      <c r="W37" s="102"/>
      <c r="X37" s="102"/>
      <c r="Y37" s="106">
        <f>SUM(R37:X37)</f>
        <v>0</v>
      </c>
      <c r="Z37" s="108"/>
      <c r="AA37" s="108"/>
      <c r="AB37" s="109"/>
      <c r="AC37" s="109"/>
      <c r="AD37" s="109"/>
      <c r="AE37" s="109"/>
      <c r="AF37" s="109"/>
      <c r="AG37" s="109"/>
      <c r="AH37" s="109"/>
      <c r="AI37" s="109"/>
    </row>
    <row r="38" spans="1:35" ht="19.5" x14ac:dyDescent="0.45">
      <c r="A38" s="206">
        <v>16</v>
      </c>
      <c r="B38" s="220" t="s">
        <v>67</v>
      </c>
      <c r="C38" s="222" t="s">
        <v>68</v>
      </c>
      <c r="D38" s="211" t="s">
        <v>39</v>
      </c>
      <c r="E38" s="63" t="s">
        <v>31</v>
      </c>
      <c r="F38" s="64"/>
      <c r="G38" s="65"/>
      <c r="H38" s="66"/>
      <c r="I38" s="23"/>
      <c r="J38" s="23"/>
      <c r="K38" s="67"/>
      <c r="L38" s="26" t="s">
        <v>36</v>
      </c>
      <c r="M38" s="26" t="s">
        <v>36</v>
      </c>
      <c r="N38" s="27" t="s">
        <v>36</v>
      </c>
      <c r="O38" s="27" t="s">
        <v>36</v>
      </c>
      <c r="P38" s="36" t="s">
        <v>36</v>
      </c>
      <c r="Q38" s="26" t="s">
        <v>36</v>
      </c>
      <c r="R38" s="29" t="s">
        <v>61</v>
      </c>
      <c r="S38" s="26" t="s">
        <v>36</v>
      </c>
      <c r="T38" s="26" t="s">
        <v>36</v>
      </c>
      <c r="U38" s="26" t="s">
        <v>36</v>
      </c>
      <c r="V38" s="26" t="s">
        <v>36</v>
      </c>
      <c r="W38" s="26" t="s">
        <v>36</v>
      </c>
      <c r="X38" s="26" t="s">
        <v>36</v>
      </c>
      <c r="Y38" s="30">
        <f>SUM(R38:X38)</f>
        <v>0</v>
      </c>
      <c r="Z38" s="32"/>
      <c r="AA38" s="32"/>
      <c r="AB38" s="2"/>
      <c r="AC38" s="2"/>
      <c r="AD38" s="2"/>
      <c r="AE38" s="2"/>
      <c r="AF38" s="2"/>
      <c r="AG38" s="2"/>
      <c r="AH38" s="2"/>
      <c r="AI38" s="2"/>
    </row>
    <row r="39" spans="1:35" ht="19.5" x14ac:dyDescent="0.45">
      <c r="A39" s="207"/>
      <c r="B39" s="221"/>
      <c r="C39" s="223"/>
      <c r="D39" s="212"/>
      <c r="E39" s="60" t="s">
        <v>42</v>
      </c>
      <c r="F39" s="64"/>
      <c r="G39" s="65"/>
      <c r="H39" s="66"/>
      <c r="I39" s="23"/>
      <c r="J39" s="23"/>
      <c r="K39" s="67"/>
      <c r="L39" s="39" t="s">
        <v>36</v>
      </c>
      <c r="M39" s="39" t="s">
        <v>36</v>
      </c>
      <c r="N39" s="73" t="s">
        <v>36</v>
      </c>
      <c r="O39" s="73" t="s">
        <v>36</v>
      </c>
      <c r="P39" s="36" t="s">
        <v>36</v>
      </c>
      <c r="Q39" s="39"/>
      <c r="R39" s="86"/>
      <c r="S39" s="71"/>
      <c r="T39" s="26"/>
      <c r="U39" s="26"/>
      <c r="V39" s="26"/>
      <c r="W39" s="26"/>
      <c r="X39" s="26"/>
      <c r="Y39" s="40">
        <f t="shared" ref="Y39" si="22">SUM(R39:X39)</f>
        <v>0</v>
      </c>
      <c r="Z39" s="32"/>
      <c r="AA39" s="32"/>
      <c r="AB39" s="2"/>
      <c r="AC39" s="2"/>
      <c r="AD39" s="2"/>
      <c r="AE39" s="2"/>
      <c r="AF39" s="2"/>
      <c r="AG39" s="2"/>
      <c r="AH39" s="2"/>
      <c r="AI39" s="2"/>
    </row>
    <row r="40" spans="1:35" ht="19.5" x14ac:dyDescent="0.45">
      <c r="A40" s="206">
        <v>17</v>
      </c>
      <c r="B40" s="208" t="s">
        <v>69</v>
      </c>
      <c r="C40" s="209" t="s">
        <v>70</v>
      </c>
      <c r="D40" s="211" t="s">
        <v>35</v>
      </c>
      <c r="E40" s="113" t="s">
        <v>31</v>
      </c>
      <c r="F40" s="114"/>
      <c r="G40" s="114"/>
      <c r="H40" s="115"/>
      <c r="I40" s="24"/>
      <c r="J40" s="24"/>
      <c r="K40" s="25"/>
      <c r="L40" s="26" t="s">
        <v>36</v>
      </c>
      <c r="M40" s="26" t="s">
        <v>36</v>
      </c>
      <c r="N40" s="27" t="s">
        <v>36</v>
      </c>
      <c r="O40" s="27" t="s">
        <v>36</v>
      </c>
      <c r="P40" s="36" t="s">
        <v>36</v>
      </c>
      <c r="Q40" s="36" t="s">
        <v>36</v>
      </c>
      <c r="R40" s="29" t="s">
        <v>61</v>
      </c>
      <c r="S40" s="26" t="s">
        <v>36</v>
      </c>
      <c r="T40" s="26" t="s">
        <v>36</v>
      </c>
      <c r="U40" s="26" t="s">
        <v>36</v>
      </c>
      <c r="V40" s="26" t="s">
        <v>36</v>
      </c>
      <c r="W40" s="26" t="s">
        <v>36</v>
      </c>
      <c r="X40" s="26" t="s">
        <v>36</v>
      </c>
      <c r="Y40" s="30">
        <f>SUM(R40:X40)</f>
        <v>0</v>
      </c>
      <c r="Z40" s="32"/>
      <c r="AA40" s="32"/>
      <c r="AB40" s="2"/>
      <c r="AC40" s="2"/>
      <c r="AD40" s="2"/>
      <c r="AE40" s="2"/>
      <c r="AF40" s="2"/>
      <c r="AG40" s="2"/>
      <c r="AH40" s="2"/>
      <c r="AI40" s="2"/>
    </row>
    <row r="41" spans="1:35" ht="19.5" x14ac:dyDescent="0.45">
      <c r="A41" s="207"/>
      <c r="B41" s="208"/>
      <c r="C41" s="210"/>
      <c r="D41" s="224"/>
      <c r="E41" s="60" t="s">
        <v>42</v>
      </c>
      <c r="F41" s="114"/>
      <c r="G41" s="114"/>
      <c r="H41" s="115"/>
      <c r="I41" s="24"/>
      <c r="J41" s="24"/>
      <c r="K41" s="25"/>
      <c r="L41" s="39" t="s">
        <v>36</v>
      </c>
      <c r="M41" s="39" t="s">
        <v>36</v>
      </c>
      <c r="N41" s="73" t="s">
        <v>36</v>
      </c>
      <c r="O41" s="73" t="s">
        <v>36</v>
      </c>
      <c r="P41" s="36"/>
      <c r="Q41" s="36"/>
      <c r="R41" s="86"/>
      <c r="S41" s="26"/>
      <c r="T41" s="26"/>
      <c r="U41" s="26"/>
      <c r="V41" s="26"/>
      <c r="W41" s="26"/>
      <c r="X41" s="26"/>
      <c r="Y41" s="40">
        <f>SUM(R41:X41)</f>
        <v>0</v>
      </c>
      <c r="Z41" s="32"/>
      <c r="AA41" s="32"/>
      <c r="AB41" s="2"/>
      <c r="AC41" s="2"/>
      <c r="AD41" s="2"/>
      <c r="AE41" s="2"/>
      <c r="AF41" s="2"/>
      <c r="AG41" s="2"/>
      <c r="AH41" s="2"/>
      <c r="AI41" s="2"/>
    </row>
    <row r="42" spans="1:35" ht="19.5" x14ac:dyDescent="0.45">
      <c r="A42" s="206">
        <v>18</v>
      </c>
      <c r="B42" s="208" t="s">
        <v>71</v>
      </c>
      <c r="C42" s="209" t="s">
        <v>72</v>
      </c>
      <c r="D42" s="211" t="s">
        <v>39</v>
      </c>
      <c r="E42" s="113" t="s">
        <v>31</v>
      </c>
      <c r="F42" s="114"/>
      <c r="G42" s="114"/>
      <c r="H42" s="115"/>
      <c r="I42" s="24"/>
      <c r="J42" s="24"/>
      <c r="K42" s="25"/>
      <c r="L42" s="26" t="s">
        <v>36</v>
      </c>
      <c r="M42" s="26" t="s">
        <v>36</v>
      </c>
      <c r="N42" s="27" t="s">
        <v>36</v>
      </c>
      <c r="O42" s="27" t="s">
        <v>36</v>
      </c>
      <c r="P42" s="36" t="s">
        <v>36</v>
      </c>
      <c r="Q42" s="26" t="s">
        <v>36</v>
      </c>
      <c r="R42" s="29" t="s">
        <v>61</v>
      </c>
      <c r="S42" s="26" t="s">
        <v>36</v>
      </c>
      <c r="T42" s="26" t="s">
        <v>36</v>
      </c>
      <c r="U42" s="26" t="s">
        <v>36</v>
      </c>
      <c r="V42" s="26" t="s">
        <v>36</v>
      </c>
      <c r="W42" s="26" t="s">
        <v>36</v>
      </c>
      <c r="X42" s="26" t="s">
        <v>36</v>
      </c>
      <c r="Y42" s="30">
        <f>SUM(R42:X42)</f>
        <v>0</v>
      </c>
      <c r="Z42" s="32"/>
      <c r="AA42" s="32"/>
      <c r="AB42" s="2"/>
      <c r="AC42" s="2"/>
      <c r="AD42" s="2"/>
      <c r="AE42" s="2"/>
      <c r="AF42" s="2"/>
      <c r="AG42" s="2"/>
      <c r="AH42" s="2"/>
      <c r="AI42" s="2"/>
    </row>
    <row r="43" spans="1:35" ht="19.5" x14ac:dyDescent="0.45">
      <c r="A43" s="207"/>
      <c r="B43" s="208"/>
      <c r="C43" s="210"/>
      <c r="D43" s="212"/>
      <c r="E43" s="60" t="s">
        <v>42</v>
      </c>
      <c r="F43" s="114"/>
      <c r="G43" s="114"/>
      <c r="H43" s="115"/>
      <c r="I43" s="24"/>
      <c r="J43" s="24"/>
      <c r="K43" s="25"/>
      <c r="L43" s="39" t="s">
        <v>36</v>
      </c>
      <c r="M43" s="39" t="s">
        <v>36</v>
      </c>
      <c r="N43" s="73" t="s">
        <v>36</v>
      </c>
      <c r="O43" s="73" t="s">
        <v>36</v>
      </c>
      <c r="P43" s="116"/>
      <c r="Q43" s="117"/>
      <c r="R43" s="86"/>
      <c r="S43" s="26"/>
      <c r="T43" s="26"/>
      <c r="U43" s="26"/>
      <c r="V43" s="26"/>
      <c r="W43" s="26"/>
      <c r="X43" s="26"/>
      <c r="Y43" s="40">
        <f>SUM(R43:X43)</f>
        <v>0</v>
      </c>
      <c r="Z43" s="32"/>
      <c r="AA43" s="32"/>
      <c r="AB43" s="2"/>
      <c r="AC43" s="2"/>
      <c r="AD43" s="2"/>
      <c r="AE43" s="2"/>
      <c r="AF43" s="2"/>
      <c r="AG43" s="2"/>
      <c r="AH43" s="2"/>
      <c r="AI43" s="2"/>
    </row>
    <row r="44" spans="1:35" ht="19.5" x14ac:dyDescent="0.45">
      <c r="A44" s="213" t="s">
        <v>73</v>
      </c>
      <c r="B44" s="214"/>
      <c r="C44" s="214"/>
      <c r="D44" s="215"/>
      <c r="E44" s="118" t="s">
        <v>74</v>
      </c>
      <c r="F44" s="119">
        <f>SUMIF(E4:E27,"計画",F4:F27)</f>
        <v>0</v>
      </c>
      <c r="G44" s="119">
        <f>SUMIF(E4:E27,"計画",G4:G27)</f>
        <v>300</v>
      </c>
      <c r="H44" s="119">
        <f>SUMIF(E4:E27,"計画",H4:H27)</f>
        <v>300</v>
      </c>
      <c r="I44" s="119">
        <f ca="1">SUMIF(E4:H27,"計画",I4:I27)</f>
        <v>300</v>
      </c>
      <c r="J44" s="119">
        <f>SUMIF(E4:E27,"計画",J4:J27)</f>
        <v>300</v>
      </c>
      <c r="K44" s="120">
        <f ca="1">SUM(F44:J44)</f>
        <v>1200</v>
      </c>
      <c r="L44" s="121">
        <f ca="1">SUMIF(E4:K43,"計画",L4:L43)</f>
        <v>650</v>
      </c>
      <c r="M44" s="121">
        <f>SUMIF(E4:E27,"計画",M4:M27)</f>
        <v>760</v>
      </c>
      <c r="N44" s="122">
        <f>SUMIF(E4:E27,"計画",N4:N27)</f>
        <v>950</v>
      </c>
      <c r="O44" s="123">
        <f ca="1">SUMIF(E4:K43,"計画",O4:O27)</f>
        <v>1150</v>
      </c>
      <c r="P44" s="124">
        <f>SUMIF(E4:E27,"計画",P4:P27)</f>
        <v>845</v>
      </c>
      <c r="Q44" s="125">
        <f>SUMIF(E4:E27,"計画",Q4:Q27)</f>
        <v>900</v>
      </c>
      <c r="R44" s="126">
        <f ca="1">SUM(L44:Q44)</f>
        <v>5255</v>
      </c>
      <c r="S44" s="127">
        <f>SUMIF(E4:E43,"計画",S4:S43)</f>
        <v>1000</v>
      </c>
      <c r="T44" s="121">
        <f>SUMIF(E4:E43,"計画",T4:T43)</f>
        <v>800</v>
      </c>
      <c r="U44" s="121">
        <f>SUMIF(E4:E43,"計画",U4:U43)</f>
        <v>1180</v>
      </c>
      <c r="V44" s="121">
        <f>SUMIF(E4:E43,"計画",V4:V43)</f>
        <v>1290</v>
      </c>
      <c r="W44" s="121">
        <f ca="1">SUMIF(E4:K43,"計画",W4:W43)</f>
        <v>1190</v>
      </c>
      <c r="X44" s="122">
        <f ca="1">SUMIF(E4:K43,"計画",X4:X43)</f>
        <v>835</v>
      </c>
      <c r="Y44" s="128">
        <f ca="1">R44+SUM(S44:X44)</f>
        <v>11550</v>
      </c>
      <c r="Z44" s="129">
        <f ca="1">SUMIF(E4:E43,"計画",Z4:Z37)</f>
        <v>29822000</v>
      </c>
      <c r="AA44" s="130">
        <f ca="1">Z44/10000</f>
        <v>2982.2</v>
      </c>
      <c r="AB44" s="2" t="s">
        <v>75</v>
      </c>
      <c r="AC44" s="219" t="s">
        <v>76</v>
      </c>
      <c r="AD44" s="32" t="s">
        <v>77</v>
      </c>
      <c r="AE44" s="131">
        <f ca="1">AA44-AA49</f>
        <v>1220.1999999999998</v>
      </c>
      <c r="AF44" s="32"/>
      <c r="AG44" s="32"/>
      <c r="AH44" s="32"/>
      <c r="AI44" s="32"/>
    </row>
    <row r="45" spans="1:35" ht="19.5" x14ac:dyDescent="0.45">
      <c r="A45" s="216"/>
      <c r="B45" s="217"/>
      <c r="C45" s="217"/>
      <c r="D45" s="218"/>
      <c r="E45" s="132" t="s">
        <v>32</v>
      </c>
      <c r="F45" s="133">
        <f>SUMIF(E4:E44,"実績",F4:F44)</f>
        <v>3</v>
      </c>
      <c r="G45" s="133">
        <f ca="1">SUMIF(E4:F44,"実績",G4:G44)</f>
        <v>74</v>
      </c>
      <c r="H45" s="133">
        <f ca="1">SUMIF(E4:G27,"実績",H4:H27)</f>
        <v>109</v>
      </c>
      <c r="I45" s="133">
        <f ca="1">SUMIF(E4:H27,"実績",I4:I27)</f>
        <v>150</v>
      </c>
      <c r="J45" s="133">
        <f ca="1">SUMIF(E4:I27,"実績",J4:J27)</f>
        <v>446</v>
      </c>
      <c r="K45" s="134">
        <f ca="1">SUM(F45:J45)</f>
        <v>782</v>
      </c>
      <c r="L45" s="135">
        <f>SUMIF(E4:E27,"実績",L4:L27)</f>
        <v>194</v>
      </c>
      <c r="M45" s="135">
        <f ca="1">SUMIF(E4:F27,"実績",M4:M27)</f>
        <v>280</v>
      </c>
      <c r="N45" s="136">
        <f ca="1">SUMIF(E4:F43,"実績",N4:N27)</f>
        <v>461</v>
      </c>
      <c r="O45" s="137">
        <f ca="1">SUMIF(E4:H43,"実績",O4:O43)</f>
        <v>162</v>
      </c>
      <c r="P45" s="138">
        <f ca="1">SUMIF(E4:I43,"実績",P4:P27)</f>
        <v>274</v>
      </c>
      <c r="Q45" s="139">
        <f ca="1">SUMIF(E4:J43,"実績",Q4:Q27)</f>
        <v>170.5</v>
      </c>
      <c r="R45" s="140">
        <f ca="1">SUM(L45:Q45)</f>
        <v>1541.5</v>
      </c>
      <c r="S45" s="135">
        <f ca="1">SUMIF(E4:K43,"実績",S4:S43)</f>
        <v>160</v>
      </c>
      <c r="T45" s="135">
        <f ca="1">SUMIF(E4:K43,"実績",T4:T43)</f>
        <v>231</v>
      </c>
      <c r="U45" s="135">
        <f ca="1">SUMIF(E4:K43,"実績",U4:U43)</f>
        <v>168</v>
      </c>
      <c r="V45" s="135">
        <f ca="1">SUMIF(E4:K43,"実績",V4:V43)</f>
        <v>318.25</v>
      </c>
      <c r="W45" s="141">
        <f ca="1">SUMIF(E4:K43,"実績",W4:W43)</f>
        <v>260</v>
      </c>
      <c r="X45" s="135">
        <f ca="1">SUMIF(E4:K43,"実績",X4:X43)</f>
        <v>0</v>
      </c>
      <c r="Y45" s="142">
        <f ca="1">SUM(R45:X45)</f>
        <v>2678.75</v>
      </c>
      <c r="Z45" s="129">
        <f ca="1">SUMIF(E4:K43,"実績",Z4:Z43)</f>
        <v>7696400</v>
      </c>
      <c r="AA45" s="130">
        <f ca="1">Z45/10000</f>
        <v>769.64</v>
      </c>
      <c r="AB45" s="2" t="s">
        <v>75</v>
      </c>
      <c r="AC45" s="202"/>
      <c r="AD45" s="32" t="s">
        <v>42</v>
      </c>
      <c r="AE45" s="143">
        <f ca="1">AA45-AA49</f>
        <v>-992.36</v>
      </c>
      <c r="AF45" s="32"/>
      <c r="AG45" s="32"/>
      <c r="AH45" s="32"/>
      <c r="AI45" s="32"/>
    </row>
    <row r="46" spans="1:35" ht="19.5" x14ac:dyDescent="0.45">
      <c r="A46" s="194" t="s">
        <v>78</v>
      </c>
      <c r="B46" s="195"/>
      <c r="C46" s="195"/>
      <c r="D46" s="196"/>
      <c r="E46" s="119" t="s">
        <v>74</v>
      </c>
      <c r="F46" s="119"/>
      <c r="G46" s="119"/>
      <c r="H46" s="119"/>
      <c r="I46" s="119"/>
      <c r="J46" s="119"/>
      <c r="K46" s="145"/>
      <c r="L46" s="146">
        <f ca="1">L44</f>
        <v>650</v>
      </c>
      <c r="M46" s="147">
        <f t="shared" ref="M46:Q47" ca="1" si="23">L46+M44</f>
        <v>1410</v>
      </c>
      <c r="N46" s="122">
        <f t="shared" ca="1" si="23"/>
        <v>2360</v>
      </c>
      <c r="O46" s="123">
        <f t="shared" ca="1" si="23"/>
        <v>3510</v>
      </c>
      <c r="P46" s="148">
        <f t="shared" ca="1" si="23"/>
        <v>4355</v>
      </c>
      <c r="Q46" s="147">
        <f t="shared" ca="1" si="23"/>
        <v>5255</v>
      </c>
      <c r="R46" s="126">
        <f ca="1">Q46</f>
        <v>5255</v>
      </c>
      <c r="S46" s="127">
        <f ca="1">Q46+S44</f>
        <v>6255</v>
      </c>
      <c r="T46" s="149">
        <f ca="1">S46+T44</f>
        <v>7055</v>
      </c>
      <c r="U46" s="149">
        <f ca="1">T46+U44</f>
        <v>8235</v>
      </c>
      <c r="V46" s="149">
        <f t="shared" ref="T46:W47" ca="1" si="24">U46+V44</f>
        <v>9525</v>
      </c>
      <c r="W46" s="149">
        <f t="shared" ca="1" si="24"/>
        <v>10715</v>
      </c>
      <c r="X46" s="150">
        <f ca="1">W46+X44</f>
        <v>11550</v>
      </c>
      <c r="Y46" s="151">
        <f ca="1">X46</f>
        <v>11550</v>
      </c>
      <c r="Z46" s="152" t="s">
        <v>86</v>
      </c>
      <c r="AA46" s="153">
        <f ca="1">AA44-AA45</f>
        <v>2212.56</v>
      </c>
      <c r="AB46" s="2" t="s">
        <v>75</v>
      </c>
      <c r="AC46" s="32"/>
      <c r="AD46" s="32" t="s">
        <v>79</v>
      </c>
      <c r="AE46" s="131">
        <f ca="1">AE44-AE45</f>
        <v>2212.56</v>
      </c>
      <c r="AF46" s="32"/>
      <c r="AG46" s="32"/>
      <c r="AH46" s="32"/>
      <c r="AI46" s="32"/>
    </row>
    <row r="47" spans="1:35" ht="19.5" x14ac:dyDescent="0.45">
      <c r="A47" s="197"/>
      <c r="B47" s="198"/>
      <c r="C47" s="198"/>
      <c r="D47" s="199"/>
      <c r="E47" s="132" t="s">
        <v>42</v>
      </c>
      <c r="F47" s="154"/>
      <c r="G47" s="154"/>
      <c r="H47" s="154"/>
      <c r="I47" s="154"/>
      <c r="J47" s="154"/>
      <c r="K47" s="154"/>
      <c r="L47" s="155">
        <f>L45</f>
        <v>194</v>
      </c>
      <c r="M47" s="156">
        <f ca="1">L47+M45</f>
        <v>474</v>
      </c>
      <c r="N47" s="157">
        <f ca="1">M47+N45</f>
        <v>935</v>
      </c>
      <c r="O47" s="158">
        <f ca="1">N47+O45</f>
        <v>1097</v>
      </c>
      <c r="P47" s="159">
        <f t="shared" ca="1" si="23"/>
        <v>1371</v>
      </c>
      <c r="Q47" s="160">
        <f ca="1">P47+Q45</f>
        <v>1541.5</v>
      </c>
      <c r="R47" s="161">
        <f ca="1">Q47</f>
        <v>1541.5</v>
      </c>
      <c r="S47" s="156">
        <f ca="1">R47+S45</f>
        <v>1701.5</v>
      </c>
      <c r="T47" s="162">
        <f t="shared" ca="1" si="24"/>
        <v>1932.5</v>
      </c>
      <c r="U47" s="162">
        <f t="shared" ca="1" si="24"/>
        <v>2100.5</v>
      </c>
      <c r="V47" s="135">
        <f t="shared" ca="1" si="24"/>
        <v>2418.75</v>
      </c>
      <c r="W47" s="163">
        <f ca="1">V47+W45</f>
        <v>2678.75</v>
      </c>
      <c r="X47" s="162">
        <f ca="1">W47+X45</f>
        <v>2678.75</v>
      </c>
      <c r="Y47" s="164">
        <f ca="1">X47</f>
        <v>2678.75</v>
      </c>
      <c r="Z47" s="165"/>
      <c r="AA47" s="165"/>
      <c r="AB47" s="2"/>
      <c r="AC47" s="32"/>
      <c r="AD47" s="32"/>
      <c r="AE47" s="32"/>
      <c r="AF47" s="32"/>
      <c r="AG47" s="32"/>
      <c r="AH47" s="32"/>
      <c r="AI47" s="32"/>
    </row>
    <row r="48" spans="1:35" ht="19.5" x14ac:dyDescent="0.45">
      <c r="A48" s="166"/>
      <c r="B48" s="144"/>
      <c r="C48" s="144"/>
      <c r="D48" s="144" t="s">
        <v>79</v>
      </c>
      <c r="E48" s="167"/>
      <c r="F48" s="168"/>
      <c r="G48" s="168"/>
      <c r="H48" s="168"/>
      <c r="I48" s="168"/>
      <c r="J48" s="168"/>
      <c r="K48" s="168"/>
      <c r="L48" s="169"/>
      <c r="M48" s="169"/>
      <c r="N48" s="169"/>
      <c r="O48" s="169"/>
      <c r="P48" s="169"/>
      <c r="Q48" s="169"/>
      <c r="R48" s="169"/>
      <c r="S48" s="169"/>
      <c r="T48" s="170"/>
      <c r="U48" s="170"/>
      <c r="V48" s="171">
        <f ca="1">Y46-V47</f>
        <v>9131.25</v>
      </c>
      <c r="W48" s="171">
        <f ca="1">Y46-W47</f>
        <v>8871.25</v>
      </c>
      <c r="X48" s="171">
        <f ca="1">Y46-X47</f>
        <v>8871.25</v>
      </c>
      <c r="Y48" s="172"/>
      <c r="Z48" s="165"/>
      <c r="AA48" s="165"/>
      <c r="AB48" s="2"/>
      <c r="AC48" s="32"/>
      <c r="AD48" s="32"/>
      <c r="AE48" s="32"/>
      <c r="AF48" s="32"/>
      <c r="AG48" s="32"/>
      <c r="AH48" s="32"/>
      <c r="AI48" s="32"/>
    </row>
    <row r="49" spans="1:35" ht="19.5" x14ac:dyDescent="0.45">
      <c r="A49" s="173"/>
      <c r="B49" s="174"/>
      <c r="C49" s="173"/>
      <c r="D49" s="32" t="s">
        <v>80</v>
      </c>
      <c r="E49" s="32"/>
      <c r="F49" s="32"/>
      <c r="G49" s="32"/>
      <c r="H49" s="32"/>
      <c r="I49" s="32"/>
      <c r="J49" s="32"/>
      <c r="K49" s="175"/>
      <c r="L49" s="176"/>
      <c r="M49" s="176"/>
      <c r="N49" s="176"/>
      <c r="O49" s="176"/>
      <c r="P49" s="177"/>
      <c r="Q49" s="176"/>
      <c r="R49" s="178"/>
      <c r="S49" s="176"/>
      <c r="T49" s="176"/>
      <c r="U49" s="176"/>
      <c r="V49" s="179">
        <f ca="1">V47/Y46</f>
        <v>0.20941558441558442</v>
      </c>
      <c r="W49" s="179">
        <f ca="1">W47/Y46</f>
        <v>0.23192640692640693</v>
      </c>
      <c r="X49" s="179">
        <f ca="1">X47/Y46</f>
        <v>0.23192640692640693</v>
      </c>
      <c r="Y49" s="200" t="s">
        <v>81</v>
      </c>
      <c r="Z49" s="201"/>
      <c r="AA49" s="180">
        <v>1762</v>
      </c>
      <c r="AB49" s="2" t="s">
        <v>75</v>
      </c>
      <c r="AC49" s="32"/>
      <c r="AD49" s="32"/>
      <c r="AE49" s="32"/>
      <c r="AF49" s="32"/>
      <c r="AG49" s="32"/>
      <c r="AH49" s="32"/>
      <c r="AI49" s="32"/>
    </row>
    <row r="50" spans="1:35" ht="19.5" x14ac:dyDescent="0.45">
      <c r="A50" s="2"/>
      <c r="B50" s="3"/>
      <c r="C50" s="2"/>
      <c r="D50" s="2"/>
      <c r="E50" s="2"/>
      <c r="F50" s="202"/>
      <c r="G50" s="202"/>
      <c r="H50" s="202"/>
      <c r="I50" s="203"/>
      <c r="J50" s="203"/>
      <c r="K50" s="203"/>
      <c r="L50" s="181"/>
      <c r="M50" s="181"/>
      <c r="N50" s="181"/>
      <c r="O50" s="181"/>
      <c r="P50" s="182"/>
      <c r="Q50" s="181"/>
      <c r="R50" s="181"/>
      <c r="S50" s="181"/>
      <c r="T50" s="204" t="s">
        <v>31</v>
      </c>
      <c r="U50" s="204"/>
      <c r="V50" s="204"/>
      <c r="W50" s="205" t="s">
        <v>42</v>
      </c>
      <c r="X50" s="205"/>
      <c r="Y50" s="205"/>
      <c r="Z50" s="2"/>
      <c r="AA50" s="183"/>
      <c r="AB50" s="2"/>
      <c r="AC50" s="2"/>
      <c r="AD50" s="2"/>
      <c r="AE50" s="2"/>
      <c r="AF50" s="2"/>
      <c r="AG50" s="2"/>
      <c r="AH50" s="2"/>
      <c r="AI50" s="2"/>
    </row>
    <row r="51" spans="1:35" ht="19.5" x14ac:dyDescent="0.45">
      <c r="A51" s="2"/>
      <c r="B51" s="184"/>
      <c r="C51" s="185"/>
      <c r="D51" s="185"/>
      <c r="E51" s="186"/>
      <c r="F51" s="187"/>
      <c r="G51" s="188"/>
      <c r="H51" s="189"/>
      <c r="I51" s="187"/>
      <c r="J51" s="188"/>
      <c r="K51" s="189"/>
      <c r="L51" s="181"/>
      <c r="M51" s="190" t="s">
        <v>82</v>
      </c>
      <c r="N51" s="190"/>
      <c r="O51" s="190"/>
      <c r="P51" s="190"/>
      <c r="Q51" s="190"/>
      <c r="R51" s="190"/>
      <c r="S51" s="190"/>
      <c r="T51" s="191">
        <f ca="1">SUM(Y44)</f>
        <v>11550</v>
      </c>
      <c r="U51" s="192"/>
      <c r="V51" s="193"/>
      <c r="W51" s="191">
        <f ca="1">Y47</f>
        <v>2678.75</v>
      </c>
      <c r="X51" s="192"/>
      <c r="Y51" s="193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9.5" x14ac:dyDescent="0.45">
      <c r="A52" s="2"/>
      <c r="B52" s="184"/>
      <c r="C52" s="185"/>
      <c r="D52" s="185"/>
      <c r="E52" s="186"/>
      <c r="F52" s="187"/>
      <c r="G52" s="188"/>
      <c r="H52" s="189"/>
      <c r="I52" s="187"/>
      <c r="J52" s="188"/>
      <c r="K52" s="189"/>
      <c r="L52" s="181"/>
      <c r="M52" s="190" t="s">
        <v>83</v>
      </c>
      <c r="N52" s="190"/>
      <c r="O52" s="190"/>
      <c r="P52" s="190"/>
      <c r="Q52" s="190"/>
      <c r="R52" s="190"/>
      <c r="S52" s="190"/>
      <c r="T52" s="191">
        <f ca="1">T51*1800</f>
        <v>20790000</v>
      </c>
      <c r="U52" s="192"/>
      <c r="V52" s="193"/>
      <c r="W52" s="191">
        <f ca="1">W51*1800</f>
        <v>4821750</v>
      </c>
      <c r="X52" s="192"/>
      <c r="Y52" s="193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9.5" x14ac:dyDescent="0.45">
      <c r="A53" s="2"/>
      <c r="B53" s="184"/>
      <c r="C53" s="185"/>
      <c r="D53" s="185"/>
      <c r="E53" s="186"/>
      <c r="F53" s="187"/>
      <c r="G53" s="188"/>
      <c r="H53" s="189"/>
      <c r="I53" s="187"/>
      <c r="J53" s="188"/>
      <c r="K53" s="189"/>
      <c r="L53" s="181"/>
      <c r="M53" s="190" t="s">
        <v>84</v>
      </c>
      <c r="N53" s="190"/>
      <c r="O53" s="190"/>
      <c r="P53" s="190"/>
      <c r="Q53" s="190"/>
      <c r="R53" s="190"/>
      <c r="S53" s="190"/>
      <c r="T53" s="191">
        <v>165</v>
      </c>
      <c r="U53" s="192"/>
      <c r="V53" s="193"/>
      <c r="W53" s="191">
        <v>165</v>
      </c>
      <c r="X53" s="192"/>
      <c r="Y53" s="193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9.5" x14ac:dyDescent="0.45">
      <c r="A54" s="2"/>
      <c r="B54" s="184"/>
      <c r="C54" s="185"/>
      <c r="D54" s="185"/>
      <c r="E54" s="186"/>
      <c r="F54" s="187"/>
      <c r="G54" s="188"/>
      <c r="H54" s="189"/>
      <c r="I54" s="187"/>
      <c r="J54" s="188"/>
      <c r="K54" s="189"/>
      <c r="L54" s="181"/>
      <c r="M54" s="190" t="s">
        <v>85</v>
      </c>
      <c r="N54" s="190"/>
      <c r="O54" s="190"/>
      <c r="P54" s="190"/>
      <c r="Q54" s="190"/>
      <c r="R54" s="190"/>
      <c r="S54" s="190"/>
      <c r="T54" s="191">
        <f ca="1">T52*T53</f>
        <v>3430350000</v>
      </c>
      <c r="U54" s="192"/>
      <c r="V54" s="193"/>
      <c r="W54" s="191">
        <f ca="1">W52*W53</f>
        <v>795588750</v>
      </c>
      <c r="X54" s="192"/>
      <c r="Y54" s="193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25">
      <c r="AB55" s="275">
        <f>17620000*165</f>
        <v>2907300000</v>
      </c>
    </row>
  </sheetData>
  <mergeCells count="114">
    <mergeCell ref="Z2:AA2"/>
    <mergeCell ref="A4:A5"/>
    <mergeCell ref="B4:B5"/>
    <mergeCell ref="C4:C5"/>
    <mergeCell ref="D4:D5"/>
    <mergeCell ref="A1:AA1"/>
    <mergeCell ref="A10:A11"/>
    <mergeCell ref="B10:B11"/>
    <mergeCell ref="C10:C11"/>
    <mergeCell ref="D10:D11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34:A35"/>
    <mergeCell ref="B34:B35"/>
    <mergeCell ref="C34:C35"/>
    <mergeCell ref="D34:D35"/>
    <mergeCell ref="A36:A37"/>
    <mergeCell ref="B36:B37"/>
    <mergeCell ref="C36:C37"/>
    <mergeCell ref="D36:D37"/>
    <mergeCell ref="A30:A31"/>
    <mergeCell ref="B30:B31"/>
    <mergeCell ref="C30:C31"/>
    <mergeCell ref="D30:D31"/>
    <mergeCell ref="A32:A33"/>
    <mergeCell ref="B32:B33"/>
    <mergeCell ref="C32:C33"/>
    <mergeCell ref="D32:D33"/>
    <mergeCell ref="AC44:AC45"/>
    <mergeCell ref="A38:A39"/>
    <mergeCell ref="B38:B39"/>
    <mergeCell ref="C38:C39"/>
    <mergeCell ref="D38:D39"/>
    <mergeCell ref="A40:A41"/>
    <mergeCell ref="B40:B41"/>
    <mergeCell ref="C40:C41"/>
    <mergeCell ref="D40:D41"/>
    <mergeCell ref="A46:D47"/>
    <mergeCell ref="Y49:Z49"/>
    <mergeCell ref="F50:H50"/>
    <mergeCell ref="I50:K50"/>
    <mergeCell ref="T50:V50"/>
    <mergeCell ref="W50:Y50"/>
    <mergeCell ref="A42:A43"/>
    <mergeCell ref="B42:B43"/>
    <mergeCell ref="C42:C43"/>
    <mergeCell ref="D42:D43"/>
    <mergeCell ref="A44:D45"/>
    <mergeCell ref="B52:E52"/>
    <mergeCell ref="F52:H52"/>
    <mergeCell ref="I52:K52"/>
    <mergeCell ref="M52:S52"/>
    <mergeCell ref="T52:V52"/>
    <mergeCell ref="W52:Y52"/>
    <mergeCell ref="B51:E51"/>
    <mergeCell ref="F51:H51"/>
    <mergeCell ref="I51:K51"/>
    <mergeCell ref="M51:S51"/>
    <mergeCell ref="T51:V51"/>
    <mergeCell ref="W51:Y51"/>
    <mergeCell ref="B54:E54"/>
    <mergeCell ref="F54:H54"/>
    <mergeCell ref="I54:K54"/>
    <mergeCell ref="M54:S54"/>
    <mergeCell ref="T54:V54"/>
    <mergeCell ref="W54:Y54"/>
    <mergeCell ref="B53:E53"/>
    <mergeCell ref="F53:H53"/>
    <mergeCell ref="I53:K53"/>
    <mergeCell ref="M53:S53"/>
    <mergeCell ref="T53:V53"/>
    <mergeCell ref="W53:Y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Mạc Tuấn Anh</dc:creator>
  <cp:lastModifiedBy>Mạc Tuấn Anh</cp:lastModifiedBy>
  <dcterms:created xsi:type="dcterms:W3CDTF">2025-12-11T03:20:35Z</dcterms:created>
  <dcterms:modified xsi:type="dcterms:W3CDTF">2025-12-11T11:34:06Z</dcterms:modified>
</cp:coreProperties>
</file>