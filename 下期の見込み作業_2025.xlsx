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4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an Anh\Documents\Esuhai\OS\DX Projects\Bangchamcong\"/>
    </mc:Choice>
  </mc:AlternateContent>
  <xr:revisionPtr revIDLastSave="0" documentId="13_ncr:1_{E7D32116-C1B5-4FAD-B225-D2CF8E21D1FE}" xr6:coauthVersionLast="47" xr6:coauthVersionMax="47" xr10:uidLastSave="{00000000-0000-0000-0000-000000000000}"/>
  <bookViews>
    <workbookView xWindow="1425" yWindow="735" windowWidth="25680" windowHeight="15795" firstSheet="6" activeTab="7" xr2:uid="{00000000-000D-0000-FFFF-FFFF00000000}"/>
  </bookViews>
  <sheets>
    <sheet name="OS" sheetId="1" state="hidden" r:id="rId1"/>
    <sheet name="KS" sheetId="2" state="hidden" r:id="rId2"/>
    <sheet name="CATIAライセンス" sheetId="5" state="hidden" r:id="rId3"/>
    <sheet name="管理_2023" sheetId="6" state="hidden" r:id="rId4"/>
    <sheet name="管理_2024_new" sheetId="9" state="hidden" r:id="rId5"/>
    <sheet name="管理_2025_new" sheetId="13" state="hidden" r:id="rId6"/>
    <sheet name="管理_2025_#2" sheetId="14" r:id="rId7"/>
    <sheet name="管理_2025_#3" sheetId="15" r:id="rId8"/>
    <sheet name="CATIA 生産性" sheetId="16" r:id="rId9"/>
    <sheet name="管理_2024_new ＃3" sheetId="12" state="hidden" r:id="rId10"/>
    <sheet name="管理_2024_new ＃２" sheetId="11" state="hidden" r:id="rId11"/>
    <sheet name="管理_2024_old" sheetId="8" state="hidden" r:id="rId12"/>
    <sheet name="CATIA業務計算_2024" sheetId="7" state="hidden" r:id="rId13"/>
    <sheet name="Sheet1" sheetId="10" state="hidden" r:id="rId14"/>
  </sheets>
  <definedNames>
    <definedName name="_xlchart.v1.0" hidden="1">Sheet1!$I$16:$M$16</definedName>
    <definedName name="_xlchart.v1.1" hidden="1">Sheet1!$I$17:$M$17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1" i="15" l="1"/>
  <c r="Y33" i="15" l="1"/>
  <c r="AA33" i="15" s="1"/>
  <c r="AB33" i="15" s="1"/>
  <c r="AA32" i="15"/>
  <c r="AB32" i="15" s="1"/>
  <c r="X5" i="15" l="1"/>
  <c r="X31" i="15"/>
  <c r="AF23" i="16" l="1"/>
  <c r="AA37" i="15"/>
  <c r="T25" i="15"/>
  <c r="AA25" i="15" s="1"/>
  <c r="AB25" i="15" s="1"/>
  <c r="T24" i="15"/>
  <c r="AA24" i="15" s="1"/>
  <c r="AB24" i="15" s="1"/>
  <c r="X19" i="15"/>
  <c r="BA26" i="16"/>
  <c r="AO26" i="16"/>
  <c r="BA25" i="16"/>
  <c r="AG25" i="16"/>
  <c r="AM24" i="16"/>
  <c r="AG24" i="16"/>
  <c r="AI24" i="16" s="1"/>
  <c r="Z23" i="16"/>
  <c r="BE19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BE17" i="16" s="1"/>
  <c r="X16" i="16"/>
  <c r="BE16" i="16" s="1"/>
  <c r="AI15" i="16"/>
  <c r="AH15" i="16"/>
  <c r="AG15" i="16"/>
  <c r="AF15" i="16"/>
  <c r="BE15" i="16" s="1"/>
  <c r="AE15" i="16"/>
  <c r="AD15" i="16"/>
  <c r="AC15" i="16"/>
  <c r="AB15" i="16"/>
  <c r="AA15" i="16"/>
  <c r="Z15" i="16"/>
  <c r="Y15" i="16"/>
  <c r="X15" i="16"/>
  <c r="BE14" i="16"/>
  <c r="X14" i="16"/>
  <c r="AI13" i="16"/>
  <c r="AH13" i="16"/>
  <c r="AG13" i="16"/>
  <c r="AF13" i="16"/>
  <c r="AE13" i="16"/>
  <c r="BE13" i="16" s="1"/>
  <c r="AD13" i="16"/>
  <c r="AC13" i="16"/>
  <c r="AB13" i="16"/>
  <c r="AA13" i="16"/>
  <c r="Z13" i="16"/>
  <c r="Y13" i="16"/>
  <c r="X13" i="16"/>
  <c r="BF12" i="16"/>
  <c r="U12" i="16"/>
  <c r="N12" i="16"/>
  <c r="BE12" i="16" s="1"/>
  <c r="BD11" i="16"/>
  <c r="BC11" i="16"/>
  <c r="BB11" i="16"/>
  <c r="BA11" i="16"/>
  <c r="AZ11" i="16"/>
  <c r="AY11" i="16"/>
  <c r="AX11" i="16"/>
  <c r="AW11" i="16"/>
  <c r="AV11" i="16"/>
  <c r="AU11" i="16"/>
  <c r="AT11" i="16"/>
  <c r="AS11" i="16"/>
  <c r="AR11" i="16"/>
  <c r="AQ11" i="16"/>
  <c r="AP11" i="16"/>
  <c r="AO11" i="16"/>
  <c r="AN11" i="16"/>
  <c r="AM11" i="16"/>
  <c r="AL11" i="16"/>
  <c r="BF11" i="16" s="1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BE11" i="16" s="1"/>
  <c r="U11" i="16"/>
  <c r="T11" i="16"/>
  <c r="S11" i="16"/>
  <c r="R11" i="16"/>
  <c r="Q11" i="16"/>
  <c r="P11" i="16"/>
  <c r="O11" i="16"/>
  <c r="N11" i="16"/>
  <c r="BF10" i="16"/>
  <c r="U10" i="16"/>
  <c r="N10" i="16"/>
  <c r="BE10" i="16" s="1"/>
  <c r="BD9" i="16"/>
  <c r="BC9" i="16"/>
  <c r="BB9" i="16"/>
  <c r="BA9" i="16"/>
  <c r="AZ9" i="16"/>
  <c r="AY9" i="16"/>
  <c r="AX9" i="16"/>
  <c r="AW9" i="16"/>
  <c r="AV9" i="16"/>
  <c r="AU9" i="16"/>
  <c r="AT9" i="16"/>
  <c r="AS9" i="16"/>
  <c r="AR9" i="16"/>
  <c r="AQ9" i="16"/>
  <c r="AP9" i="16"/>
  <c r="AO9" i="16"/>
  <c r="AN9" i="16"/>
  <c r="AM9" i="16"/>
  <c r="BF9" i="16" s="1"/>
  <c r="AL9" i="16"/>
  <c r="AK9" i="16"/>
  <c r="AJ9" i="16"/>
  <c r="AI9" i="16"/>
  <c r="AH9" i="16"/>
  <c r="AG9" i="16"/>
  <c r="AF9" i="16"/>
  <c r="AE9" i="16"/>
  <c r="AD9" i="16"/>
  <c r="AC9" i="16"/>
  <c r="AB9" i="16"/>
  <c r="AA9" i="16"/>
  <c r="Z9" i="16"/>
  <c r="Y9" i="16"/>
  <c r="X9" i="16"/>
  <c r="W9" i="16"/>
  <c r="BE9" i="16" s="1"/>
  <c r="V9" i="16"/>
  <c r="U9" i="16"/>
  <c r="T9" i="16"/>
  <c r="S9" i="16"/>
  <c r="R9" i="16"/>
  <c r="Q9" i="16"/>
  <c r="P9" i="16"/>
  <c r="O9" i="16"/>
  <c r="N9" i="16"/>
  <c r="BF8" i="16"/>
  <c r="U8" i="16"/>
  <c r="I8" i="16"/>
  <c r="E8" i="16"/>
  <c r="BE8" i="16" s="1"/>
  <c r="AD7" i="16"/>
  <c r="AE7" i="16" s="1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BE7" i="16" s="1"/>
  <c r="H7" i="16"/>
  <c r="G7" i="16"/>
  <c r="F7" i="16"/>
  <c r="E7" i="16"/>
  <c r="BF6" i="16"/>
  <c r="U6" i="16"/>
  <c r="I6" i="16"/>
  <c r="E6" i="16"/>
  <c r="BE6" i="16" s="1"/>
  <c r="AD5" i="16"/>
  <c r="AE5" i="16" s="1"/>
  <c r="AC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AF7" i="16" l="1"/>
  <c r="AG7" i="16" s="1"/>
  <c r="AH7" i="16" s="1"/>
  <c r="AI7" i="16" s="1"/>
  <c r="AJ7" i="16" s="1"/>
  <c r="AK7" i="16" s="1"/>
  <c r="AL7" i="16" s="1"/>
  <c r="AM7" i="16" s="1"/>
  <c r="AN7" i="16" s="1"/>
  <c r="AO7" i="16" s="1"/>
  <c r="AP7" i="16" s="1"/>
  <c r="AQ7" i="16" s="1"/>
  <c r="AR7" i="16" s="1"/>
  <c r="AS7" i="16" s="1"/>
  <c r="AT7" i="16" s="1"/>
  <c r="AU7" i="16" s="1"/>
  <c r="AV7" i="16" s="1"/>
  <c r="AW7" i="16" s="1"/>
  <c r="AX7" i="16" s="1"/>
  <c r="AY7" i="16" s="1"/>
  <c r="AZ7" i="16" s="1"/>
  <c r="BA7" i="16" s="1"/>
  <c r="BB7" i="16" s="1"/>
  <c r="BC7" i="16" s="1"/>
  <c r="BD7" i="16" s="1"/>
  <c r="AF5" i="16"/>
  <c r="AG5" i="16" s="1"/>
  <c r="AH5" i="16" s="1"/>
  <c r="AI5" i="16" s="1"/>
  <c r="AJ5" i="16" s="1"/>
  <c r="AK5" i="16" s="1"/>
  <c r="AL5" i="16" s="1"/>
  <c r="AM5" i="16" s="1"/>
  <c r="AN5" i="16" s="1"/>
  <c r="AO5" i="16" s="1"/>
  <c r="AP5" i="16" s="1"/>
  <c r="AQ5" i="16" s="1"/>
  <c r="AR5" i="16" s="1"/>
  <c r="AS5" i="16" s="1"/>
  <c r="AT5" i="16" s="1"/>
  <c r="AU5" i="16" s="1"/>
  <c r="AV5" i="16" s="1"/>
  <c r="AW5" i="16" s="1"/>
  <c r="AX5" i="16" s="1"/>
  <c r="AY5" i="16" s="1"/>
  <c r="AZ5" i="16" s="1"/>
  <c r="BA5" i="16" s="1"/>
  <c r="BB5" i="16" s="1"/>
  <c r="BC5" i="16" s="1"/>
  <c r="BD5" i="16" s="1"/>
  <c r="X18" i="16"/>
  <c r="BE18" i="16" s="1"/>
  <c r="V5" i="16"/>
  <c r="W5" i="16" s="1"/>
  <c r="X5" i="16" s="1"/>
  <c r="Y5" i="16" s="1"/>
  <c r="Z5" i="16" s="1"/>
  <c r="AA5" i="16" s="1"/>
  <c r="AB5" i="16" s="1"/>
  <c r="BF5" i="16" l="1"/>
  <c r="X21" i="16"/>
  <c r="BF7" i="16"/>
  <c r="BE5" i="16"/>
  <c r="X44" i="15" l="1"/>
  <c r="V5" i="15"/>
  <c r="V23" i="15"/>
  <c r="R45" i="15"/>
  <c r="T23" i="15"/>
  <c r="AA23" i="15" s="1"/>
  <c r="AB23" i="15" s="1"/>
  <c r="T22" i="15"/>
  <c r="AA22" i="15" s="1"/>
  <c r="AB22" i="15" s="1"/>
  <c r="U38" i="14"/>
  <c r="T24" i="14"/>
  <c r="AA24" i="14" s="1"/>
  <c r="T23" i="14"/>
  <c r="AA23" i="14" s="1"/>
  <c r="AA39" i="15"/>
  <c r="AA38" i="15"/>
  <c r="AA41" i="15"/>
  <c r="AA40" i="15"/>
  <c r="AA36" i="15"/>
  <c r="T5" i="14"/>
  <c r="S45" i="15"/>
  <c r="Q45" i="15"/>
  <c r="O45" i="15"/>
  <c r="N45" i="15"/>
  <c r="L45" i="15"/>
  <c r="K45" i="15"/>
  <c r="J45" i="15"/>
  <c r="H45" i="15"/>
  <c r="W44" i="15"/>
  <c r="U44" i="15"/>
  <c r="S44" i="15"/>
  <c r="R44" i="15"/>
  <c r="P44" i="15"/>
  <c r="O44" i="15"/>
  <c r="L44" i="15"/>
  <c r="K44" i="15"/>
  <c r="J44" i="15"/>
  <c r="I44" i="15"/>
  <c r="H44" i="15"/>
  <c r="I45" i="15" s="1"/>
  <c r="AA43" i="15"/>
  <c r="AA42" i="15"/>
  <c r="AA35" i="15"/>
  <c r="AB35" i="15" s="1"/>
  <c r="AA34" i="15"/>
  <c r="AB34" i="15" s="1"/>
  <c r="AA31" i="15"/>
  <c r="AB31" i="15" s="1"/>
  <c r="AA30" i="15"/>
  <c r="AB30" i="15" s="1"/>
  <c r="AA29" i="15"/>
  <c r="AB29" i="15" s="1"/>
  <c r="AA28" i="15"/>
  <c r="AB28" i="15" s="1"/>
  <c r="T27" i="15"/>
  <c r="AA27" i="15" s="1"/>
  <c r="AB27" i="15" s="1"/>
  <c r="T26" i="15"/>
  <c r="AA26" i="15" s="1"/>
  <c r="AB26" i="15" s="1"/>
  <c r="T21" i="15"/>
  <c r="AA21" i="15" s="1"/>
  <c r="AB21" i="15" s="1"/>
  <c r="T20" i="15"/>
  <c r="AA20" i="15" s="1"/>
  <c r="AB20" i="15" s="1"/>
  <c r="T19" i="15"/>
  <c r="AA19" i="15" s="1"/>
  <c r="AB19" i="15" s="1"/>
  <c r="T18" i="15"/>
  <c r="AA18" i="15" s="1"/>
  <c r="AB18" i="15" s="1"/>
  <c r="T17" i="15"/>
  <c r="AA17" i="15" s="1"/>
  <c r="AB17" i="15" s="1"/>
  <c r="T16" i="15"/>
  <c r="AA16" i="15" s="1"/>
  <c r="AB16" i="15" s="1"/>
  <c r="T15" i="15"/>
  <c r="AA15" i="15" s="1"/>
  <c r="AB15" i="15" s="1"/>
  <c r="T14" i="15"/>
  <c r="AA14" i="15" s="1"/>
  <c r="AB14" i="15" s="1"/>
  <c r="T13" i="15"/>
  <c r="AA13" i="15" s="1"/>
  <c r="AB13" i="15" s="1"/>
  <c r="T12" i="15"/>
  <c r="AA12" i="15" s="1"/>
  <c r="AB12" i="15" s="1"/>
  <c r="T11" i="15"/>
  <c r="AA11" i="15" s="1"/>
  <c r="AB11" i="15" s="1"/>
  <c r="T10" i="15"/>
  <c r="AA10" i="15" s="1"/>
  <c r="AB10" i="15" s="1"/>
  <c r="M10" i="15"/>
  <c r="T9" i="15"/>
  <c r="AA9" i="15" s="1"/>
  <c r="AB9" i="15" s="1"/>
  <c r="T8" i="15"/>
  <c r="AA8" i="15" s="1"/>
  <c r="AB8" i="15" s="1"/>
  <c r="M8" i="15"/>
  <c r="T7" i="15"/>
  <c r="AA7" i="15" s="1"/>
  <c r="AB7" i="15" s="1"/>
  <c r="T6" i="15"/>
  <c r="AA6" i="15" s="1"/>
  <c r="AB6" i="15" s="1"/>
  <c r="M6" i="15"/>
  <c r="C6" i="15"/>
  <c r="C8" i="15" s="1"/>
  <c r="P5" i="15"/>
  <c r="P45" i="15" s="1"/>
  <c r="V4" i="15"/>
  <c r="V44" i="15" s="1"/>
  <c r="T4" i="15"/>
  <c r="M4" i="15"/>
  <c r="R38" i="14"/>
  <c r="C10" i="15" l="1"/>
  <c r="C12" i="15" s="1"/>
  <c r="C14" i="15" s="1"/>
  <c r="Y45" i="15"/>
  <c r="Z45" i="15"/>
  <c r="AA4" i="15"/>
  <c r="AB4" i="15" s="1"/>
  <c r="AB44" i="15" s="1"/>
  <c r="AC44" i="15" s="1"/>
  <c r="AG44" i="15" s="1"/>
  <c r="Z44" i="15"/>
  <c r="V45" i="15"/>
  <c r="U45" i="15"/>
  <c r="X45" i="15"/>
  <c r="T45" i="15"/>
  <c r="T5" i="15"/>
  <c r="AA5" i="15" s="1"/>
  <c r="Q44" i="15"/>
  <c r="M45" i="15"/>
  <c r="Y44" i="15"/>
  <c r="W45" i="15"/>
  <c r="M44" i="15"/>
  <c r="N47" i="15"/>
  <c r="O47" i="15" s="1"/>
  <c r="P47" i="15" s="1"/>
  <c r="Q47" i="15" s="1"/>
  <c r="R47" i="15" s="1"/>
  <c r="S47" i="15" s="1"/>
  <c r="T47" i="15" s="1"/>
  <c r="N44" i="15"/>
  <c r="X37" i="14"/>
  <c r="W37" i="14"/>
  <c r="U37" i="14"/>
  <c r="Z37" i="14"/>
  <c r="Y37" i="14"/>
  <c r="Q38" i="14"/>
  <c r="AA45" i="15" l="1"/>
  <c r="AB5" i="15"/>
  <c r="T44" i="15"/>
  <c r="AA44" i="15" s="1"/>
  <c r="V51" i="15" s="1"/>
  <c r="V52" i="15" s="1"/>
  <c r="V54" i="15" s="1"/>
  <c r="U47" i="15"/>
  <c r="V47" i="15" s="1"/>
  <c r="N46" i="15"/>
  <c r="O46" i="15" s="1"/>
  <c r="P46" i="15" s="1"/>
  <c r="Q46" i="15" s="1"/>
  <c r="R46" i="15" s="1"/>
  <c r="S46" i="15" s="1"/>
  <c r="U46" i="15" s="1"/>
  <c r="V46" i="15" s="1"/>
  <c r="W46" i="15" s="1"/>
  <c r="P6" i="14"/>
  <c r="AB45" i="15" l="1"/>
  <c r="AC45" i="15" s="1"/>
  <c r="W47" i="15"/>
  <c r="X47" i="15" s="1"/>
  <c r="Y47" i="15" s="1"/>
  <c r="X46" i="15"/>
  <c r="Y46" i="15" s="1"/>
  <c r="Z46" i="15" s="1"/>
  <c r="T46" i="15"/>
  <c r="T22" i="14"/>
  <c r="AA22" i="14" s="1"/>
  <c r="T21" i="14"/>
  <c r="AA21" i="14" s="1"/>
  <c r="T6" i="14"/>
  <c r="AA6" i="14" s="1"/>
  <c r="T20" i="14"/>
  <c r="T26" i="14"/>
  <c r="T18" i="14"/>
  <c r="T16" i="14"/>
  <c r="T14" i="14"/>
  <c r="T12" i="14"/>
  <c r="T10" i="14"/>
  <c r="T8" i="14"/>
  <c r="O38" i="14"/>
  <c r="AG45" i="15" l="1"/>
  <c r="AG46" i="15" s="1"/>
  <c r="AC46" i="15"/>
  <c r="AA46" i="15"/>
  <c r="AA36" i="14"/>
  <c r="AA35" i="14"/>
  <c r="S38" i="14"/>
  <c r="P38" i="14"/>
  <c r="AA32" i="14"/>
  <c r="AA31" i="14"/>
  <c r="N38" i="14"/>
  <c r="N40" i="14" s="1"/>
  <c r="O40" i="14" s="1"/>
  <c r="N30" i="12"/>
  <c r="O30" i="12" s="1"/>
  <c r="O37" i="14"/>
  <c r="Y43" i="14"/>
  <c r="Y44" i="14" s="1"/>
  <c r="Y46" i="14" s="1"/>
  <c r="L38" i="14"/>
  <c r="K38" i="14"/>
  <c r="J38" i="14"/>
  <c r="H38" i="14"/>
  <c r="S37" i="14"/>
  <c r="R37" i="14"/>
  <c r="P37" i="14"/>
  <c r="L37" i="14"/>
  <c r="K37" i="14"/>
  <c r="J37" i="14"/>
  <c r="I37" i="14"/>
  <c r="H37" i="14"/>
  <c r="I38" i="14" s="1"/>
  <c r="AA30" i="14"/>
  <c r="AA29" i="14"/>
  <c r="AA28" i="14"/>
  <c r="AA27" i="14"/>
  <c r="AA26" i="14"/>
  <c r="T25" i="14"/>
  <c r="AA25" i="14" s="1"/>
  <c r="AA20" i="14"/>
  <c r="T19" i="14"/>
  <c r="AA19" i="14" s="1"/>
  <c r="AA18" i="14"/>
  <c r="T17" i="14"/>
  <c r="AA17" i="14" s="1"/>
  <c r="AA16" i="14"/>
  <c r="T15" i="14"/>
  <c r="AA15" i="14" s="1"/>
  <c r="AA14" i="14"/>
  <c r="T13" i="14"/>
  <c r="AA13" i="14" s="1"/>
  <c r="AA12" i="14"/>
  <c r="T11" i="14"/>
  <c r="AA11" i="14" s="1"/>
  <c r="M11" i="14"/>
  <c r="AA10" i="14"/>
  <c r="T9" i="14"/>
  <c r="AA9" i="14" s="1"/>
  <c r="M9" i="14"/>
  <c r="AA8" i="14"/>
  <c r="T7" i="14"/>
  <c r="AA7" i="14" s="1"/>
  <c r="M7" i="14"/>
  <c r="C7" i="14"/>
  <c r="C9" i="14" s="1"/>
  <c r="C11" i="14" s="1"/>
  <c r="C13" i="14" s="1"/>
  <c r="V5" i="14"/>
  <c r="V37" i="14" s="1"/>
  <c r="M5" i="14"/>
  <c r="X49" i="15" l="1"/>
  <c r="Y49" i="15"/>
  <c r="Z47" i="15"/>
  <c r="Z49" i="15" s="1"/>
  <c r="X48" i="15"/>
  <c r="Y48" i="15"/>
  <c r="T38" i="14"/>
  <c r="AA37" i="14" s="1"/>
  <c r="Y38" i="14"/>
  <c r="Q37" i="14"/>
  <c r="N37" i="14"/>
  <c r="V38" i="14"/>
  <c r="W38" i="14"/>
  <c r="X38" i="14"/>
  <c r="Z38" i="14"/>
  <c r="P40" i="14"/>
  <c r="AA5" i="14"/>
  <c r="C15" i="14"/>
  <c r="M38" i="14"/>
  <c r="M37" i="14"/>
  <c r="Z48" i="15" l="1"/>
  <c r="AA47" i="15"/>
  <c r="Y51" i="15" s="1"/>
  <c r="Y52" i="15" s="1"/>
  <c r="Y54" i="15" s="1"/>
  <c r="Q40" i="14"/>
  <c r="R40" i="14" s="1"/>
  <c r="S40" i="14" s="1"/>
  <c r="T40" i="14" s="1"/>
  <c r="T37" i="14"/>
  <c r="V43" i="14"/>
  <c r="V44" i="14" s="1"/>
  <c r="V46" i="14" s="1"/>
  <c r="N39" i="14"/>
  <c r="O39" i="14" s="1"/>
  <c r="P39" i="14" s="1"/>
  <c r="U40" i="14" l="1"/>
  <c r="V40" i="14" s="1"/>
  <c r="W40" i="14" s="1"/>
  <c r="X40" i="14" s="1"/>
  <c r="Y40" i="14" s="1"/>
  <c r="Z40" i="14" s="1"/>
  <c r="Q39" i="14"/>
  <c r="R39" i="14" s="1"/>
  <c r="S39" i="14" s="1"/>
  <c r="U39" i="14" s="1"/>
  <c r="C9" i="13"/>
  <c r="C11" i="13"/>
  <c r="C13" i="13"/>
  <c r="C15" i="13"/>
  <c r="C17" i="13"/>
  <c r="C7" i="13"/>
  <c r="Y25" i="13"/>
  <c r="Y26" i="13" s="1"/>
  <c r="Y28" i="13" s="1"/>
  <c r="L20" i="13"/>
  <c r="K20" i="13"/>
  <c r="J20" i="13"/>
  <c r="H20" i="13"/>
  <c r="Z19" i="13"/>
  <c r="Y19" i="13"/>
  <c r="X19" i="13"/>
  <c r="W19" i="13"/>
  <c r="V19" i="13"/>
  <c r="U19" i="13"/>
  <c r="S19" i="13"/>
  <c r="R19" i="13"/>
  <c r="Q19" i="13"/>
  <c r="P19" i="13"/>
  <c r="O19" i="13"/>
  <c r="N19" i="13"/>
  <c r="N21" i="13" s="1"/>
  <c r="L19" i="13"/>
  <c r="K19" i="13"/>
  <c r="J19" i="13"/>
  <c r="I19" i="13"/>
  <c r="H19" i="13"/>
  <c r="I20" i="13" s="1"/>
  <c r="AA18" i="13"/>
  <c r="AA17" i="13"/>
  <c r="T17" i="13"/>
  <c r="AA16" i="13"/>
  <c r="AA15" i="13"/>
  <c r="T15" i="13"/>
  <c r="AA14" i="13"/>
  <c r="T13" i="13"/>
  <c r="T11" i="13"/>
  <c r="AA11" i="13" s="1"/>
  <c r="AA10" i="13"/>
  <c r="T9" i="13"/>
  <c r="AA9" i="13" s="1"/>
  <c r="M9" i="13"/>
  <c r="AA8" i="13"/>
  <c r="T7" i="13"/>
  <c r="AA7" i="13" s="1"/>
  <c r="M7" i="13"/>
  <c r="AA6" i="13"/>
  <c r="T5" i="13"/>
  <c r="AA5" i="13" s="1"/>
  <c r="M5" i="13"/>
  <c r="W10" i="12"/>
  <c r="W16" i="12"/>
  <c r="V28" i="12"/>
  <c r="W28" i="12"/>
  <c r="X28" i="12"/>
  <c r="U28" i="12"/>
  <c r="AA13" i="12"/>
  <c r="AA15" i="12"/>
  <c r="AA11" i="12"/>
  <c r="AA23" i="12"/>
  <c r="AA21" i="12"/>
  <c r="AA25" i="12"/>
  <c r="AA19" i="12"/>
  <c r="AA17" i="12"/>
  <c r="AA9" i="12"/>
  <c r="T11" i="12"/>
  <c r="Z28" i="12"/>
  <c r="Y28" i="12"/>
  <c r="S28" i="12"/>
  <c r="R28" i="12"/>
  <c r="Q28" i="12"/>
  <c r="P28" i="12"/>
  <c r="O28" i="12"/>
  <c r="N28" i="12"/>
  <c r="L28" i="12"/>
  <c r="K28" i="12"/>
  <c r="J28" i="12"/>
  <c r="H28" i="12"/>
  <c r="Z27" i="12"/>
  <c r="Y27" i="12"/>
  <c r="X27" i="12"/>
  <c r="W27" i="12"/>
  <c r="V27" i="12"/>
  <c r="U27" i="12"/>
  <c r="S27" i="12"/>
  <c r="R27" i="12"/>
  <c r="Q27" i="12"/>
  <c r="P27" i="12"/>
  <c r="O27" i="12"/>
  <c r="N27" i="12"/>
  <c r="N29" i="12" s="1"/>
  <c r="L27" i="12"/>
  <c r="K27" i="12"/>
  <c r="J27" i="12"/>
  <c r="I27" i="12"/>
  <c r="H27" i="12"/>
  <c r="I28" i="12" s="1"/>
  <c r="T26" i="12"/>
  <c r="AA26" i="12" s="1"/>
  <c r="T25" i="12"/>
  <c r="AA24" i="12"/>
  <c r="T23" i="12"/>
  <c r="AA22" i="12"/>
  <c r="T21" i="12"/>
  <c r="T20" i="12"/>
  <c r="AA20" i="12" s="1"/>
  <c r="T19" i="12"/>
  <c r="T18" i="12"/>
  <c r="AA18" i="12" s="1"/>
  <c r="T17" i="12"/>
  <c r="T16" i="12"/>
  <c r="T15" i="12"/>
  <c r="T14" i="12"/>
  <c r="AA14" i="12" s="1"/>
  <c r="T13" i="12"/>
  <c r="M13" i="12"/>
  <c r="T12" i="12"/>
  <c r="AA12" i="12" s="1"/>
  <c r="M11" i="12"/>
  <c r="T10" i="12"/>
  <c r="T9" i="12"/>
  <c r="M9" i="12"/>
  <c r="AA8" i="12"/>
  <c r="T8" i="12"/>
  <c r="T7" i="12"/>
  <c r="M7" i="12"/>
  <c r="T6" i="12"/>
  <c r="AA6" i="12" s="1"/>
  <c r="T5" i="12"/>
  <c r="M5" i="12"/>
  <c r="T39" i="14" l="1"/>
  <c r="V39" i="14"/>
  <c r="W39" i="14" s="1"/>
  <c r="X39" i="14" s="1"/>
  <c r="Y39" i="14" s="1"/>
  <c r="Z39" i="14" s="1"/>
  <c r="AA39" i="14" s="1"/>
  <c r="O21" i="13"/>
  <c r="P21" i="13" s="1"/>
  <c r="Q21" i="13" s="1"/>
  <c r="R21" i="13" s="1"/>
  <c r="S21" i="13" s="1"/>
  <c r="T21" i="13" s="1"/>
  <c r="AA12" i="13"/>
  <c r="AA13" i="13"/>
  <c r="AA19" i="13"/>
  <c r="V25" i="13" s="1"/>
  <c r="V26" i="13" s="1"/>
  <c r="V28" i="13" s="1"/>
  <c r="U21" i="13"/>
  <c r="V21" i="13" s="1"/>
  <c r="W21" i="13" s="1"/>
  <c r="X21" i="13" s="1"/>
  <c r="Y21" i="13" s="1"/>
  <c r="Z21" i="13" s="1"/>
  <c r="AA21" i="13" s="1"/>
  <c r="M19" i="13"/>
  <c r="M20" i="13"/>
  <c r="T19" i="13"/>
  <c r="AA10" i="12"/>
  <c r="AA16" i="12"/>
  <c r="O29" i="12"/>
  <c r="T28" i="12"/>
  <c r="AA28" i="12" s="1"/>
  <c r="Y33" i="12" s="1"/>
  <c r="Y34" i="12" s="1"/>
  <c r="Y36" i="12" s="1"/>
  <c r="AA27" i="12"/>
  <c r="V33" i="12" s="1"/>
  <c r="P29" i="12"/>
  <c r="Q29" i="12" s="1"/>
  <c r="R29" i="12" s="1"/>
  <c r="P30" i="12"/>
  <c r="Q30" i="12" s="1"/>
  <c r="R30" i="12" s="1"/>
  <c r="S30" i="12" s="1"/>
  <c r="U29" i="12" s="1"/>
  <c r="V29" i="12" s="1"/>
  <c r="T27" i="12"/>
  <c r="M28" i="12"/>
  <c r="T30" i="12"/>
  <c r="U30" i="12" s="1"/>
  <c r="V30" i="12" s="1"/>
  <c r="W30" i="12" s="1"/>
  <c r="X30" i="12" s="1"/>
  <c r="Y30" i="12" s="1"/>
  <c r="Z30" i="12" s="1"/>
  <c r="M27" i="12"/>
  <c r="W29" i="12" l="1"/>
  <c r="X29" i="12" s="1"/>
  <c r="Y29" i="12" s="1"/>
  <c r="Z29" i="12" s="1"/>
  <c r="AA29" i="12" s="1"/>
  <c r="S29" i="12"/>
  <c r="T29" i="12" s="1"/>
  <c r="V34" i="12"/>
  <c r="V36" i="12" s="1"/>
  <c r="AA15" i="11"/>
  <c r="O23" i="11"/>
  <c r="T19" i="11"/>
  <c r="AA19" i="11" s="1"/>
  <c r="Z24" i="11"/>
  <c r="Y24" i="11"/>
  <c r="X24" i="11"/>
  <c r="W24" i="11"/>
  <c r="V24" i="11"/>
  <c r="U24" i="11"/>
  <c r="S24" i="11"/>
  <c r="R24" i="11"/>
  <c r="Q24" i="11"/>
  <c r="P24" i="11"/>
  <c r="O24" i="11"/>
  <c r="N24" i="11"/>
  <c r="N26" i="11" s="1"/>
  <c r="L24" i="11"/>
  <c r="K24" i="11"/>
  <c r="J24" i="11"/>
  <c r="H24" i="11"/>
  <c r="Z23" i="11"/>
  <c r="Y23" i="11"/>
  <c r="X23" i="11"/>
  <c r="W23" i="11"/>
  <c r="V23" i="11"/>
  <c r="U23" i="11"/>
  <c r="S23" i="11"/>
  <c r="R23" i="11"/>
  <c r="Q23" i="11"/>
  <c r="P23" i="11"/>
  <c r="N23" i="11"/>
  <c r="N25" i="11" s="1"/>
  <c r="L23" i="11"/>
  <c r="K23" i="11"/>
  <c r="J23" i="11"/>
  <c r="I23" i="11"/>
  <c r="H23" i="11"/>
  <c r="I24" i="11" s="1"/>
  <c r="T22" i="11"/>
  <c r="AA22" i="11" s="1"/>
  <c r="T21" i="11"/>
  <c r="AA21" i="11" s="1"/>
  <c r="T20" i="11"/>
  <c r="AA20" i="11" s="1"/>
  <c r="T18" i="11"/>
  <c r="AA18" i="11" s="1"/>
  <c r="T17" i="11"/>
  <c r="AA17" i="11" s="1"/>
  <c r="T16" i="11"/>
  <c r="AA16" i="11" s="1"/>
  <c r="T15" i="11"/>
  <c r="T14" i="11"/>
  <c r="AA14" i="11" s="1"/>
  <c r="T13" i="11"/>
  <c r="AA13" i="11" s="1"/>
  <c r="M13" i="11"/>
  <c r="AA12" i="11"/>
  <c r="T12" i="11"/>
  <c r="T11" i="11"/>
  <c r="AA11" i="11" s="1"/>
  <c r="M11" i="11"/>
  <c r="T10" i="11"/>
  <c r="AA10" i="11" s="1"/>
  <c r="T9" i="11"/>
  <c r="AA9" i="11" s="1"/>
  <c r="M9" i="11"/>
  <c r="T8" i="11"/>
  <c r="AA8" i="11" s="1"/>
  <c r="T7" i="11"/>
  <c r="AA7" i="11" s="1"/>
  <c r="M7" i="11"/>
  <c r="T6" i="11"/>
  <c r="AA6" i="11" s="1"/>
  <c r="T5" i="11"/>
  <c r="AA5" i="11" s="1"/>
  <c r="M5" i="11"/>
  <c r="O25" i="11" l="1"/>
  <c r="P25" i="11" s="1"/>
  <c r="Q25" i="11" s="1"/>
  <c r="R25" i="11" s="1"/>
  <c r="S25" i="11" s="1"/>
  <c r="U25" i="11" s="1"/>
  <c r="V25" i="11" s="1"/>
  <c r="W25" i="11" s="1"/>
  <c r="X25" i="11" s="1"/>
  <c r="Y25" i="11" s="1"/>
  <c r="Z25" i="11" s="1"/>
  <c r="AA25" i="11" s="1"/>
  <c r="O26" i="11"/>
  <c r="P26" i="11" s="1"/>
  <c r="Q26" i="11" s="1"/>
  <c r="R26" i="11" s="1"/>
  <c r="S26" i="11" s="1"/>
  <c r="T23" i="11"/>
  <c r="AA23" i="11" s="1"/>
  <c r="V29" i="11" s="1"/>
  <c r="V30" i="11" s="1"/>
  <c r="V32" i="11" s="1"/>
  <c r="M24" i="11"/>
  <c r="T24" i="11"/>
  <c r="AA24" i="11" s="1"/>
  <c r="M23" i="11"/>
  <c r="U26" i="11" l="1"/>
  <c r="V26" i="11" s="1"/>
  <c r="W26" i="11" s="1"/>
  <c r="X26" i="11" s="1"/>
  <c r="Y26" i="11" s="1"/>
  <c r="Z26" i="11" s="1"/>
  <c r="AA26" i="11" s="1"/>
  <c r="Y29" i="11" s="1"/>
  <c r="Y30" i="11" s="1"/>
  <c r="Y32" i="11" s="1"/>
  <c r="T26" i="11"/>
  <c r="T25" i="11"/>
  <c r="T12" i="9" l="1"/>
  <c r="AA12" i="9" s="1"/>
  <c r="T11" i="9"/>
  <c r="AA11" i="9" s="1"/>
  <c r="M11" i="9"/>
  <c r="T20" i="9"/>
  <c r="AA20" i="9" s="1"/>
  <c r="T19" i="9"/>
  <c r="AA19" i="9" s="1"/>
  <c r="O23" i="9"/>
  <c r="N24" i="9"/>
  <c r="N26" i="9" s="1"/>
  <c r="H28" i="6"/>
  <c r="G28" i="6"/>
  <c r="O24" i="9"/>
  <c r="K36" i="10"/>
  <c r="L36" i="10"/>
  <c r="M36" i="10"/>
  <c r="N36" i="10"/>
  <c r="O36" i="10"/>
  <c r="P36" i="10"/>
  <c r="Q36" i="10"/>
  <c r="R36" i="10" s="1"/>
  <c r="S36" i="10" s="1"/>
  <c r="T36" i="10" s="1"/>
  <c r="J36" i="10"/>
  <c r="I36" i="10"/>
  <c r="O26" i="9" l="1"/>
  <c r="L10" i="6"/>
  <c r="Z23" i="9"/>
  <c r="Y23" i="9"/>
  <c r="X23" i="9"/>
  <c r="W23" i="9"/>
  <c r="V23" i="9"/>
  <c r="N23" i="9" l="1"/>
  <c r="T18" i="9"/>
  <c r="AA18" i="9" s="1"/>
  <c r="T22" i="9"/>
  <c r="AA22" i="9" s="1"/>
  <c r="T16" i="9"/>
  <c r="AA16" i="9" s="1"/>
  <c r="T6" i="9"/>
  <c r="AA6" i="9" s="1"/>
  <c r="T8" i="9"/>
  <c r="AA8" i="9" s="1"/>
  <c r="T14" i="9"/>
  <c r="AA14" i="9" s="1"/>
  <c r="T21" i="9"/>
  <c r="AA21" i="9" s="1"/>
  <c r="T10" i="9"/>
  <c r="AA10" i="9" s="1"/>
  <c r="T9" i="9"/>
  <c r="AA9" i="9" s="1"/>
  <c r="T13" i="9"/>
  <c r="AA13" i="9" s="1"/>
  <c r="T15" i="9"/>
  <c r="AA15" i="9" s="1"/>
  <c r="T17" i="9"/>
  <c r="AA17" i="9" s="1"/>
  <c r="P24" i="9"/>
  <c r="Q24" i="9"/>
  <c r="R24" i="9"/>
  <c r="R26" i="9" s="1"/>
  <c r="S26" i="9" s="1"/>
  <c r="U26" i="9" s="1"/>
  <c r="S24" i="9"/>
  <c r="N28" i="8"/>
  <c r="T28" i="8" s="1"/>
  <c r="T7" i="9"/>
  <c r="AA7" i="9" s="1"/>
  <c r="T5" i="9"/>
  <c r="AA5" i="9" s="1"/>
  <c r="Z24" i="9"/>
  <c r="Y24" i="9"/>
  <c r="X24" i="9"/>
  <c r="W24" i="9"/>
  <c r="V24" i="9"/>
  <c r="U24" i="9"/>
  <c r="L24" i="9"/>
  <c r="K24" i="9"/>
  <c r="J24" i="9"/>
  <c r="H24" i="9"/>
  <c r="U23" i="9"/>
  <c r="S23" i="9"/>
  <c r="R23" i="9"/>
  <c r="R25" i="9" s="1"/>
  <c r="Q23" i="9"/>
  <c r="P23" i="9"/>
  <c r="L23" i="9"/>
  <c r="K23" i="9"/>
  <c r="J23" i="9"/>
  <c r="I23" i="9"/>
  <c r="H23" i="9"/>
  <c r="I24" i="9" s="1"/>
  <c r="M13" i="9"/>
  <c r="M9" i="9"/>
  <c r="M7" i="9"/>
  <c r="M5" i="9"/>
  <c r="M14" i="7"/>
  <c r="K14" i="7"/>
  <c r="H14" i="7"/>
  <c r="I14" i="7"/>
  <c r="J14" i="7"/>
  <c r="G14" i="7"/>
  <c r="L14" i="7" s="1"/>
  <c r="N14" i="7"/>
  <c r="O14" i="7"/>
  <c r="P14" i="7"/>
  <c r="Q14" i="7"/>
  <c r="R14" i="7"/>
  <c r="S14" i="7"/>
  <c r="T14" i="7"/>
  <c r="U14" i="7"/>
  <c r="V14" i="7"/>
  <c r="W14" i="7"/>
  <c r="X14" i="7"/>
  <c r="AA21" i="8"/>
  <c r="V31" i="8"/>
  <c r="P27" i="8"/>
  <c r="T21" i="8"/>
  <c r="T11" i="8"/>
  <c r="AA11" i="8" s="1"/>
  <c r="O27" i="8"/>
  <c r="K28" i="6"/>
  <c r="J28" i="6"/>
  <c r="I28" i="6"/>
  <c r="Z28" i="8"/>
  <c r="Y28" i="8"/>
  <c r="X28" i="8"/>
  <c r="W28" i="8"/>
  <c r="V28" i="8"/>
  <c r="U28" i="8"/>
  <c r="S28" i="8"/>
  <c r="R28" i="8"/>
  <c r="Q28" i="8"/>
  <c r="P28" i="8"/>
  <c r="O28" i="8"/>
  <c r="Z27" i="8"/>
  <c r="Y27" i="8"/>
  <c r="X27" i="8"/>
  <c r="W27" i="8"/>
  <c r="V27" i="8"/>
  <c r="U27" i="8"/>
  <c r="S27" i="8"/>
  <c r="R27" i="8"/>
  <c r="Q27" i="8"/>
  <c r="N27" i="8"/>
  <c r="J28" i="8"/>
  <c r="K28" i="8"/>
  <c r="L28" i="8"/>
  <c r="J27" i="8"/>
  <c r="H28" i="8"/>
  <c r="L27" i="8"/>
  <c r="K27" i="8"/>
  <c r="I27" i="8"/>
  <c r="H27" i="8"/>
  <c r="I28" i="8" s="1"/>
  <c r="M7" i="8"/>
  <c r="T7" i="8" s="1"/>
  <c r="AA7" i="8" s="1"/>
  <c r="M11" i="8"/>
  <c r="M9" i="8"/>
  <c r="T9" i="8" s="1"/>
  <c r="AA9" i="8" s="1"/>
  <c r="T24" i="9" l="1"/>
  <c r="AA24" i="9" s="1"/>
  <c r="P26" i="9"/>
  <c r="Q26" i="9" s="1"/>
  <c r="T23" i="9"/>
  <c r="N25" i="9"/>
  <c r="O25" i="9" s="1"/>
  <c r="P25" i="9" s="1"/>
  <c r="Q25" i="9" s="1"/>
  <c r="S25" i="9" s="1"/>
  <c r="U25" i="9" s="1"/>
  <c r="V25" i="9" s="1"/>
  <c r="W25" i="9" s="1"/>
  <c r="X25" i="9" s="1"/>
  <c r="Y25" i="9" s="1"/>
  <c r="Z25" i="9" s="1"/>
  <c r="M23" i="9"/>
  <c r="M24" i="9"/>
  <c r="Y14" i="7"/>
  <c r="Y31" i="8"/>
  <c r="AA28" i="8"/>
  <c r="T27" i="8"/>
  <c r="AA27" i="8" s="1"/>
  <c r="M27" i="8"/>
  <c r="M28" i="8"/>
  <c r="M15" i="8"/>
  <c r="T15" i="8" s="1"/>
  <c r="AA15" i="8" s="1"/>
  <c r="M13" i="8"/>
  <c r="T13" i="8" s="1"/>
  <c r="AA13" i="8" s="1"/>
  <c r="M19" i="8"/>
  <c r="T19" i="8" s="1"/>
  <c r="AA19" i="8" s="1"/>
  <c r="M17" i="8"/>
  <c r="T17" i="8" s="1"/>
  <c r="AA17" i="8" s="1"/>
  <c r="M5" i="8"/>
  <c r="T5" i="8" s="1"/>
  <c r="AA5" i="8" s="1"/>
  <c r="E13" i="7"/>
  <c r="U13" i="7"/>
  <c r="T13" i="7"/>
  <c r="S13" i="7"/>
  <c r="W13" i="7"/>
  <c r="V13" i="7"/>
  <c r="R13" i="7"/>
  <c r="Q13" i="7"/>
  <c r="P13" i="7"/>
  <c r="O13" i="7"/>
  <c r="N13" i="7"/>
  <c r="M13" i="7"/>
  <c r="K13" i="7"/>
  <c r="J13" i="7"/>
  <c r="I13" i="7"/>
  <c r="H13" i="7"/>
  <c r="G13" i="7"/>
  <c r="AA23" i="9" l="1"/>
  <c r="V29" i="9" s="1"/>
  <c r="V30" i="9" s="1"/>
  <c r="V32" i="9" s="1"/>
  <c r="T25" i="9"/>
  <c r="AA25" i="9"/>
  <c r="T26" i="9"/>
  <c r="V26" i="9"/>
  <c r="W26" i="9" s="1"/>
  <c r="X26" i="9" s="1"/>
  <c r="Y26" i="9" s="1"/>
  <c r="Z26" i="9" s="1"/>
  <c r="AA26" i="9" s="1"/>
  <c r="Y29" i="9" s="1"/>
  <c r="Y30" i="9" s="1"/>
  <c r="Y32" i="9" s="1"/>
  <c r="Y32" i="8"/>
  <c r="Y34" i="8" s="1"/>
  <c r="V32" i="8"/>
  <c r="V34" i="8" s="1"/>
  <c r="L13" i="7"/>
  <c r="G18" i="7" l="1"/>
  <c r="G19" i="7" s="1"/>
  <c r="G21" i="7" s="1"/>
  <c r="W18" i="7"/>
  <c r="W19" i="7" s="1"/>
  <c r="W21" i="7" s="1"/>
  <c r="Y9" i="7"/>
  <c r="Y7" i="7"/>
  <c r="L7" i="7"/>
  <c r="Y5" i="7"/>
  <c r="L5" i="7"/>
  <c r="X13" i="7" s="1"/>
  <c r="T18" i="7" s="1"/>
  <c r="T19" i="7" s="1"/>
  <c r="T21" i="7" s="1"/>
  <c r="X28" i="6"/>
  <c r="W28" i="6"/>
  <c r="V28" i="6"/>
  <c r="U28" i="6"/>
  <c r="T28" i="6"/>
  <c r="S28" i="6"/>
  <c r="R28" i="6"/>
  <c r="Q28" i="6"/>
  <c r="P28" i="6"/>
  <c r="O28" i="6"/>
  <c r="N28" i="6"/>
  <c r="M28" i="6"/>
  <c r="X27" i="6"/>
  <c r="W27" i="6"/>
  <c r="V27" i="6"/>
  <c r="U27" i="6"/>
  <c r="T27" i="6"/>
  <c r="S27" i="6"/>
  <c r="R27" i="6"/>
  <c r="Q27" i="6"/>
  <c r="P27" i="6"/>
  <c r="O27" i="6"/>
  <c r="N27" i="6"/>
  <c r="M27" i="6"/>
  <c r="K27" i="6"/>
  <c r="J27" i="6"/>
  <c r="I27" i="6"/>
  <c r="H27" i="6"/>
  <c r="G27" i="6"/>
  <c r="L27" i="6" s="1"/>
  <c r="Y21" i="6"/>
  <c r="Y19" i="6"/>
  <c r="L19" i="6"/>
  <c r="Y17" i="6"/>
  <c r="L17" i="6"/>
  <c r="Y15" i="6"/>
  <c r="L15" i="6"/>
  <c r="Y13" i="6"/>
  <c r="L13" i="6"/>
  <c r="Y11" i="6"/>
  <c r="L11" i="6"/>
  <c r="Y9" i="6"/>
  <c r="L9" i="6"/>
  <c r="Y7" i="6"/>
  <c r="L7" i="6"/>
  <c r="Y5" i="6"/>
  <c r="L5" i="6"/>
  <c r="Y28" i="6" l="1"/>
  <c r="W31" i="6"/>
  <c r="W32" i="6" s="1"/>
  <c r="W34" i="6" s="1"/>
  <c r="Y13" i="7"/>
  <c r="J18" i="7"/>
  <c r="J19" i="7" s="1"/>
  <c r="J21" i="7" s="1"/>
  <c r="L28" i="6"/>
  <c r="T31" i="6"/>
  <c r="T32" i="6" s="1"/>
  <c r="T34" i="6" s="1"/>
  <c r="G31" i="6"/>
  <c r="G32" i="6" s="1"/>
  <c r="G34" i="6" s="1"/>
  <c r="J31" i="6"/>
  <c r="J32" i="6" s="1"/>
  <c r="J34" i="6" s="1"/>
  <c r="Y27" i="6"/>
  <c r="V16" i="5"/>
  <c r="X5" i="5" s="1"/>
  <c r="N16" i="5"/>
  <c r="J16" i="5"/>
  <c r="L5" i="5" s="1"/>
  <c r="F16" i="5"/>
  <c r="R16" i="5" l="1"/>
  <c r="H5" i="5"/>
  <c r="T5" i="5"/>
  <c r="P5" i="5"/>
  <c r="E15" i="1"/>
  <c r="J5" i="1"/>
  <c r="K13" i="1"/>
  <c r="J13" i="1"/>
  <c r="W5" i="1"/>
  <c r="O5" i="1"/>
  <c r="AA5" i="1"/>
  <c r="S5" i="1"/>
  <c r="Q13" i="1"/>
  <c r="Y13" i="1"/>
  <c r="U13" i="1"/>
  <c r="M13" i="1"/>
  <c r="J6" i="1"/>
  <c r="J7" i="1"/>
  <c r="J8" i="1"/>
  <c r="J9" i="1"/>
  <c r="J10" i="1"/>
  <c r="J11" i="1"/>
  <c r="J12" i="1"/>
  <c r="I13" i="1"/>
  <c r="H13" i="1"/>
  <c r="G13" i="1"/>
  <c r="F13" i="1"/>
  <c r="E13" i="1"/>
  <c r="E16" i="1" l="1"/>
  <c r="E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tc={F4E766D4-631A-4777-8936-8BCDFABD340D}</author>
  </authors>
  <commentList>
    <comment ref="J20" authorId="0" shapeId="0" xr:uid="{F4E766D4-631A-4777-8936-8BCDFABD340D}">
      <text>
        <t>[Threaded comment]
Your version of Excel allows you to read this threaded comment; however, any edits to it will get removed if the file is opened in a newer version of Excel. Learn more: https://go.microsoft.com/fwlink/?linkid=870924
Comment:
    追加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Trần Thị Huyền</author>
    <author>tc={CF6E746E-1CFD-4DCB-8F09-4AB64654370F}</author>
  </authors>
  <commentList>
    <comment ref="N7" authorId="0" shapeId="0" xr:uid="{A04E09C6-A58D-459E-88B5-206036545C5C}">
      <text>
        <r>
          <rPr>
            <sz val="11"/>
            <color theme="1"/>
            <rFont val="Calibri"/>
            <family val="2"/>
            <scheme val="minor"/>
          </rPr>
          <t>Trần Thị Huyền:
KH hien tai chua co du an moi nen khong irai viec duoc</t>
        </r>
      </text>
    </comment>
    <comment ref="O7" authorId="0" shapeId="0" xr:uid="{03178188-7C44-4C5D-9A43-0139646115DA}">
      <text>
        <r>
          <rPr>
            <sz val="11"/>
            <color theme="1"/>
            <rFont val="Calibri"/>
            <family val="2"/>
            <scheme val="minor"/>
          </rPr>
          <t>Trần Thị Huyền:
KH hien tai chua co du an moi nen khong irai viec duoc</t>
        </r>
      </text>
    </comment>
    <comment ref="K8" authorId="1" shapeId="0" xr:uid="{CF6E746E-1CFD-4DCB-8F09-4AB64654370F}">
      <text>
        <t>[Threaded comment]
Your version of Excel allows you to read this threaded comment; however, any edits to it will get removed if the file is opened in a newer version of Excel. Learn more: https://go.microsoft.com/fwlink/?linkid=870924
Comment:
    追加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Trần Thị Huyền</author>
    <author>tc={EA87B01B-8561-4E63-97F0-0846F58C48E4}</author>
  </authors>
  <commentList>
    <comment ref="N7" authorId="0" shapeId="0" xr:uid="{9673D621-FBEE-4138-9954-5AFFE4973E1B}">
      <text>
        <r>
          <rPr>
            <sz val="11"/>
            <color theme="1"/>
            <rFont val="Calibri"/>
            <family val="2"/>
            <scheme val="minor"/>
          </rPr>
          <t>Trần Thị Huyền:
KH hien tai chua co du an moi nen khong irai viec duoc</t>
        </r>
      </text>
    </comment>
    <comment ref="O7" authorId="0" shapeId="0" xr:uid="{4AE68D3E-3768-4462-9790-5769D831E49A}">
      <text>
        <r>
          <rPr>
            <sz val="11"/>
            <color theme="1"/>
            <rFont val="Calibri"/>
            <family val="2"/>
            <scheme val="minor"/>
          </rPr>
          <t>Trần Thị Huyền:
KH hien tai chua co du an moi nen khong irai viec duoc</t>
        </r>
      </text>
    </comment>
    <comment ref="K8" authorId="1" shapeId="0" xr:uid="{EA87B01B-8561-4E63-97F0-0846F58C48E4}">
      <text>
        <t>[Threaded comment]
Your version of Excel allows you to read this threaded comment; however, any edits to it will get removed if the file is opened in a newer version of Excel. Learn more: https://go.microsoft.com/fwlink/?linkid=870924
Comment:
    追加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Trần Thị Huyền</author>
    <author>tc={B95A0995-5CCF-4749-B13E-E0AB0EE7AB05}</author>
  </authors>
  <commentList>
    <comment ref="N7" authorId="0" shapeId="0" xr:uid="{F3C48DFD-EB1B-4ACE-A08E-30CF6CFB015F}">
      <text>
        <r>
          <rPr>
            <sz val="11"/>
            <color theme="1"/>
            <rFont val="Calibri"/>
            <family val="2"/>
            <scheme val="minor"/>
          </rPr>
          <t>Trần Thị Huyền:
KH hien tai chua co du an moi nen khong irai viec duoc</t>
        </r>
      </text>
    </comment>
    <comment ref="O7" authorId="0" shapeId="0" xr:uid="{C7DAC7D1-8470-459C-A5F1-83E98B19D047}">
      <text>
        <r>
          <rPr>
            <sz val="11"/>
            <color theme="1"/>
            <rFont val="Calibri"/>
            <family val="2"/>
            <scheme val="minor"/>
          </rPr>
          <t>Trần Thị Huyền:
KH hien tai chua co du an moi nen khong irai viec duoc</t>
        </r>
      </text>
    </comment>
    <comment ref="K8" authorId="1" shapeId="0" xr:uid="{B95A0995-5CCF-4749-B13E-E0AB0EE7AB05}">
      <text>
        <t>[Threaded comment]
Your version of Excel allows you to read this threaded comment; however, any edits to it will get removed if the file is opened in a newer version of Excel. Learn more: https://go.microsoft.com/fwlink/?linkid=870924
Comment:
    追加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tc={863FC14E-87A8-46E8-A1D3-E265CAFA3428}</author>
  </authors>
  <commentList>
    <comment ref="K12" authorId="0" shapeId="0" xr:uid="{863FC14E-87A8-46E8-A1D3-E265CAFA3428}">
      <text>
        <t>[Threaded comment]
Your version of Excel allows you to read this threaded comment; however, any edits to it will get removed if the file is opened in a newer version of Excel. Learn more: https://go.microsoft.com/fwlink/?linkid=870924
Comment:
    追加</t>
      </text>
    </comment>
  </commentList>
</comments>
</file>

<file path=xl/sharedStrings.xml><?xml version="1.0" encoding="utf-8"?>
<sst xmlns="http://schemas.openxmlformats.org/spreadsheetml/2006/main" count="1580" uniqueCount="228">
  <si>
    <t>OS業務受託見込み</t>
  </si>
  <si>
    <t>単価：1800円/h</t>
  </si>
  <si>
    <t>NX</t>
    <phoneticPr fontId="10"/>
  </si>
  <si>
    <t>CATIA</t>
    <phoneticPr fontId="10"/>
  </si>
  <si>
    <t>SOLIDWORKS</t>
  </si>
  <si>
    <t>ICAD</t>
  </si>
  <si>
    <t>No</t>
  </si>
  <si>
    <t>社名</t>
  </si>
  <si>
    <t>8月</t>
  </si>
  <si>
    <t>9月</t>
  </si>
  <si>
    <t>10月</t>
  </si>
  <si>
    <t>11月</t>
  </si>
  <si>
    <t>12月</t>
  </si>
  <si>
    <t>Total/Pj</t>
  </si>
  <si>
    <t>1月</t>
  </si>
  <si>
    <t>NX使用</t>
    <rPh sb="2" eb="4">
      <t>シヨウ</t>
    </rPh>
    <phoneticPr fontId="10"/>
  </si>
  <si>
    <t>必要ライセンス数</t>
    <rPh sb="0" eb="2">
      <t>ヒツヨウ</t>
    </rPh>
    <rPh sb="7" eb="8">
      <t>スウ</t>
    </rPh>
    <phoneticPr fontId="10"/>
  </si>
  <si>
    <t>現在契約ライセンス数</t>
    <rPh sb="0" eb="2">
      <t>ゲンザイ</t>
    </rPh>
    <rPh sb="2" eb="4">
      <t>ケイヤク</t>
    </rPh>
    <rPh sb="9" eb="10">
      <t>スウ</t>
    </rPh>
    <phoneticPr fontId="10"/>
  </si>
  <si>
    <t>不足契約数
(台)</t>
  </si>
  <si>
    <t>CATIA使用</t>
    <rPh sb="5" eb="7">
      <t>シヨウ</t>
    </rPh>
    <phoneticPr fontId="10"/>
  </si>
  <si>
    <t>SOLIDWORKS
使用</t>
    <phoneticPr fontId="10"/>
  </si>
  <si>
    <t>ICADS使用</t>
  </si>
  <si>
    <t>ZUKEN</t>
  </si>
  <si>
    <t>ISJ</t>
  </si>
  <si>
    <t>●</t>
  </si>
  <si>
    <t>GLW</t>
  </si>
  <si>
    <t>●</t>
    <phoneticPr fontId="10"/>
  </si>
  <si>
    <t>コンテック設計</t>
  </si>
  <si>
    <t>Tiger</t>
  </si>
  <si>
    <t>KS_Metal</t>
  </si>
  <si>
    <t>Sankyou_Tateyama</t>
  </si>
  <si>
    <t>ホイストクレーン</t>
  </si>
  <si>
    <t>Total/月</t>
  </si>
  <si>
    <t>TOTAL</t>
    <phoneticPr fontId="10"/>
  </si>
  <si>
    <t>Total from Aug-23 to Dec-23:</t>
  </si>
  <si>
    <t>Total amount (JPY):</t>
  </si>
  <si>
    <t>Exchange rate:</t>
  </si>
  <si>
    <t>Total amount (VND)</t>
  </si>
  <si>
    <t>マッチング状況</t>
  </si>
  <si>
    <t>特別対応</t>
  </si>
  <si>
    <t>専門</t>
  </si>
  <si>
    <t>在校学生数</t>
  </si>
  <si>
    <t>既存ニーズ</t>
  </si>
  <si>
    <t>採用依頼ニーズ</t>
  </si>
  <si>
    <t>企業新規開拓</t>
  </si>
  <si>
    <t>募集ニーズ</t>
  </si>
  <si>
    <t>大学</t>
  </si>
  <si>
    <t>機械</t>
  </si>
  <si>
    <t>動力機械</t>
  </si>
  <si>
    <t>自動化</t>
  </si>
  <si>
    <t>メカトロ</t>
  </si>
  <si>
    <t>電気</t>
  </si>
  <si>
    <t>２</t>
  </si>
  <si>
    <t>電子</t>
  </si>
  <si>
    <t>建設/建築/環境技術/給排水技術/地質</t>
  </si>
  <si>
    <t>-15</t>
  </si>
  <si>
    <t>土木</t>
  </si>
  <si>
    <t>空調</t>
  </si>
  <si>
    <t>船舶</t>
  </si>
  <si>
    <t>IT</t>
  </si>
  <si>
    <t>短大学</t>
  </si>
  <si>
    <t>建設</t>
  </si>
  <si>
    <t>E3</t>
  </si>
  <si>
    <t>社名</t>
    <phoneticPr fontId="10"/>
  </si>
  <si>
    <t>必要ライセンス数</t>
  </si>
  <si>
    <t>CATIA
使用</t>
    <rPh sb="6" eb="8">
      <t>シヨウ</t>
    </rPh>
    <phoneticPr fontId="10"/>
  </si>
  <si>
    <t>E3
使用</t>
  </si>
  <si>
    <t>ICADS
使用</t>
    <phoneticPr fontId="10"/>
  </si>
  <si>
    <t>FALTEC</t>
    <phoneticPr fontId="10"/>
  </si>
  <si>
    <t>GNN</t>
    <phoneticPr fontId="10"/>
  </si>
  <si>
    <t>Towa-kikai</t>
    <phoneticPr fontId="10"/>
  </si>
  <si>
    <t>OS業務受託見込み</t>
    <phoneticPr fontId="10"/>
  </si>
  <si>
    <t>単位：hour   単価：1800円/h</t>
    <rPh sb="0" eb="2">
      <t>タンイ</t>
    </rPh>
    <phoneticPr fontId="10"/>
  </si>
  <si>
    <t>No</t>
    <phoneticPr fontId="10"/>
  </si>
  <si>
    <t>12月</t>
    <phoneticPr fontId="10"/>
  </si>
  <si>
    <t>2月</t>
    <phoneticPr fontId="10"/>
  </si>
  <si>
    <t>3月</t>
    <phoneticPr fontId="10"/>
  </si>
  <si>
    <t>4月</t>
    <phoneticPr fontId="10"/>
  </si>
  <si>
    <t>5月</t>
    <phoneticPr fontId="10"/>
  </si>
  <si>
    <t>6月</t>
    <phoneticPr fontId="10"/>
  </si>
  <si>
    <t>7月</t>
    <phoneticPr fontId="10"/>
  </si>
  <si>
    <t>8月</t>
    <phoneticPr fontId="10"/>
  </si>
  <si>
    <t>9月</t>
    <phoneticPr fontId="10"/>
  </si>
  <si>
    <t>10月</t>
    <phoneticPr fontId="10"/>
  </si>
  <si>
    <t>11月</t>
    <phoneticPr fontId="10"/>
  </si>
  <si>
    <t>ライブラリ部品登録</t>
    <phoneticPr fontId="10"/>
  </si>
  <si>
    <t>計画</t>
    <rPh sb="0" eb="2">
      <t>ケイカク</t>
    </rPh>
    <phoneticPr fontId="10"/>
  </si>
  <si>
    <t>実績</t>
    <rPh sb="0" eb="2">
      <t>ジッセキ</t>
    </rPh>
    <phoneticPr fontId="10"/>
  </si>
  <si>
    <t>ISJ</t>
    <phoneticPr fontId="10"/>
  </si>
  <si>
    <t>開発設計</t>
    <phoneticPr fontId="10"/>
  </si>
  <si>
    <t>機械設計</t>
    <phoneticPr fontId="10"/>
  </si>
  <si>
    <t>電気自動車設計</t>
    <rPh sb="5" eb="7">
      <t>セッケイ</t>
    </rPh>
    <phoneticPr fontId="10"/>
  </si>
  <si>
    <t>炊飯器の設計業務</t>
    <phoneticPr fontId="10"/>
  </si>
  <si>
    <t>板金設計</t>
    <phoneticPr fontId="10"/>
  </si>
  <si>
    <t>自動機用の機械設計</t>
    <phoneticPr fontId="10"/>
  </si>
  <si>
    <t>金型設計</t>
    <phoneticPr fontId="10"/>
  </si>
  <si>
    <t>クレーン設計</t>
    <phoneticPr fontId="10"/>
  </si>
  <si>
    <t>外装部品設計</t>
    <rPh sb="0" eb="2">
      <t>ガイソウ</t>
    </rPh>
    <rPh sb="2" eb="4">
      <t>ブヒン</t>
    </rPh>
    <rPh sb="4" eb="6">
      <t>セッケイ</t>
    </rPh>
    <phoneticPr fontId="10"/>
  </si>
  <si>
    <t>CATIAトライアル</t>
    <phoneticPr fontId="10"/>
  </si>
  <si>
    <t>実績</t>
  </si>
  <si>
    <t>自動車トリム部品設計</t>
    <rPh sb="0" eb="3">
      <t>ジドウシャ</t>
    </rPh>
    <rPh sb="6" eb="8">
      <t>ブヒン</t>
    </rPh>
    <rPh sb="8" eb="10">
      <t>セッケイ</t>
    </rPh>
    <phoneticPr fontId="10"/>
  </si>
  <si>
    <t>受託検討中</t>
    <rPh sb="0" eb="2">
      <t>ジュタク</t>
    </rPh>
    <rPh sb="2" eb="5">
      <t>ケントウチュウ</t>
    </rPh>
    <phoneticPr fontId="10"/>
  </si>
  <si>
    <t>Total from Aug-23 to Dec-23:</t>
    <phoneticPr fontId="10"/>
  </si>
  <si>
    <t>Total from Aug-24 to Dec-24:</t>
    <phoneticPr fontId="10"/>
  </si>
  <si>
    <t>単位：hour   単価：1800円/h</t>
  </si>
  <si>
    <t>半期計画</t>
    <rPh sb="0" eb="2">
      <t>ハンキ</t>
    </rPh>
    <rPh sb="2" eb="4">
      <t>ケイカク</t>
    </rPh>
    <phoneticPr fontId="10"/>
  </si>
  <si>
    <t>業務内容</t>
    <rPh sb="0" eb="4">
      <t>ギョウムナイヨウ</t>
    </rPh>
    <phoneticPr fontId="10"/>
  </si>
  <si>
    <t>使用
ソフト</t>
  </si>
  <si>
    <t>E3</t>
    <phoneticPr fontId="10"/>
  </si>
  <si>
    <t>HOIST</t>
    <phoneticPr fontId="10"/>
  </si>
  <si>
    <t>NX</t>
  </si>
  <si>
    <t>ISJ
(日本)</t>
  </si>
  <si>
    <t>CATIA</t>
  </si>
  <si>
    <t>ISJ
(HCM)</t>
  </si>
  <si>
    <t>電気自動車の
ベースデザイン</t>
    <phoneticPr fontId="10"/>
  </si>
  <si>
    <t>外装部品設計</t>
  </si>
  <si>
    <t>自動車トリム部品設計</t>
  </si>
  <si>
    <t>INATEC</t>
    <phoneticPr fontId="10"/>
  </si>
  <si>
    <t>歯車設計</t>
    <rPh sb="2" eb="4">
      <t>セッケイ</t>
    </rPh>
    <phoneticPr fontId="10"/>
  </si>
  <si>
    <t>見積
検討中</t>
  </si>
  <si>
    <t>NISSEN</t>
  </si>
  <si>
    <t>機密
管理中</t>
  </si>
  <si>
    <t>Total(合計)/月</t>
  </si>
  <si>
    <t>Cum(累計)/月</t>
  </si>
  <si>
    <t>計画</t>
  </si>
  <si>
    <t>単位：hour   単価：2300円/h</t>
  </si>
  <si>
    <t>半期計画</t>
  </si>
  <si>
    <t>年間計画</t>
  </si>
  <si>
    <r>
      <t xml:space="preserve">ISJ
</t>
    </r>
    <r>
      <rPr>
        <sz val="8"/>
        <color theme="1"/>
        <rFont val="Meiryo"/>
        <family val="2"/>
        <charset val="128"/>
      </rPr>
      <t>(日本オンサイト)</t>
    </r>
  </si>
  <si>
    <t>ー</t>
  </si>
  <si>
    <t>GLW
(LM)</t>
  </si>
  <si>
    <t>GLW
(FALTEC)</t>
  </si>
  <si>
    <t>GNN
(河西テクノ)</t>
  </si>
  <si>
    <t>自動車モデルチェンジ
（オンサイト）</t>
  </si>
  <si>
    <t>日泉化学</t>
  </si>
  <si>
    <t>内装部品設計</t>
  </si>
  <si>
    <t>-</t>
  </si>
  <si>
    <t>テクノハマ</t>
  </si>
  <si>
    <t>金型データ作成</t>
  </si>
  <si>
    <t>業務内容</t>
  </si>
  <si>
    <r>
      <rPr>
        <sz val="12"/>
        <color rgb="FF000000"/>
        <rFont val="Meiryo"/>
        <family val="3"/>
        <charset val="128"/>
      </rPr>
      <t xml:space="preserve">ISJ
</t>
    </r>
    <r>
      <rPr>
        <sz val="10"/>
        <color rgb="FF000000"/>
        <rFont val="Meiryo"/>
        <family val="3"/>
        <charset val="128"/>
      </rPr>
      <t>(日本オンサイト)</t>
    </r>
  </si>
  <si>
    <t>設備設計</t>
  </si>
  <si>
    <t>ISJ
(部品設計)</t>
    <phoneticPr fontId="10"/>
  </si>
  <si>
    <t>自動車部品</t>
    <phoneticPr fontId="10"/>
  </si>
  <si>
    <t>ISJ
（生産設備)</t>
  </si>
  <si>
    <t>図面化</t>
  </si>
  <si>
    <t>ICAD</t>
    <phoneticPr fontId="10"/>
  </si>
  <si>
    <t>GLW
(LM)</t>
    <phoneticPr fontId="10"/>
  </si>
  <si>
    <t>GLW
(FALTEC)</t>
    <phoneticPr fontId="10"/>
  </si>
  <si>
    <t>外装部品設計</t>
    <phoneticPr fontId="10"/>
  </si>
  <si>
    <t>GLW
(河西テクノ)</t>
    <phoneticPr fontId="10"/>
  </si>
  <si>
    <t>内装部品設計</t>
    <phoneticPr fontId="10"/>
  </si>
  <si>
    <t>実績</t>
    <phoneticPr fontId="10"/>
  </si>
  <si>
    <t>金型データ作成</t>
    <phoneticPr fontId="10"/>
  </si>
  <si>
    <t>NX
CATIA</t>
    <phoneticPr fontId="10"/>
  </si>
  <si>
    <t>GNN（5P45）
(河西テクノ)</t>
  </si>
  <si>
    <t>GNN（H60E）
(河西テクノ)</t>
    <phoneticPr fontId="10"/>
  </si>
  <si>
    <t>GNN（L53M）
(河西テクノ)</t>
  </si>
  <si>
    <t>日泉化学</t>
    <phoneticPr fontId="10"/>
  </si>
  <si>
    <t>新規</t>
    <rPh sb="0" eb="2">
      <t>シンキ</t>
    </rPh>
    <phoneticPr fontId="10"/>
  </si>
  <si>
    <t>‐</t>
  </si>
  <si>
    <t>目標　11550</t>
  </si>
  <si>
    <t>VUTEQ​
インドネシア</t>
    <phoneticPr fontId="10"/>
  </si>
  <si>
    <t>啓装工業</t>
    <phoneticPr fontId="10"/>
  </si>
  <si>
    <t>生産設備</t>
    <phoneticPr fontId="10"/>
  </si>
  <si>
    <t>Honda HRAP</t>
    <phoneticPr fontId="10"/>
  </si>
  <si>
    <t>・内外装部品設計
・プレス部品設計</t>
    <rPh sb="2" eb="3">
      <t>ガイ</t>
    </rPh>
    <rPh sb="13" eb="17">
      <t>ブヒンセ</t>
    </rPh>
    <phoneticPr fontId="10"/>
  </si>
  <si>
    <t>今里食品</t>
    <phoneticPr fontId="10"/>
  </si>
  <si>
    <t>機械自動化</t>
    <rPh sb="0" eb="5">
      <t>キカイジドウ</t>
    </rPh>
    <phoneticPr fontId="10"/>
  </si>
  <si>
    <t>株式会社コイズミデザイン</t>
    <phoneticPr fontId="10"/>
  </si>
  <si>
    <t>機械設計業務</t>
    <rPh sb="0" eb="2">
      <t>キカイ</t>
    </rPh>
    <rPh sb="2" eb="6">
      <t>セ</t>
    </rPh>
    <phoneticPr fontId="10"/>
  </si>
  <si>
    <t>曙ブレーキ工業</t>
    <phoneticPr fontId="10"/>
  </si>
  <si>
    <t>機械設計</t>
    <rPh sb="0" eb="2">
      <t>キカイ</t>
    </rPh>
    <rPh sb="2" eb="4">
      <t>セッケイ</t>
    </rPh>
    <phoneticPr fontId="10"/>
  </si>
  <si>
    <r>
      <rPr>
        <sz val="12"/>
        <color rgb="FF000000"/>
        <rFont val="Meiryo"/>
        <family val="2"/>
        <charset val="128"/>
      </rPr>
      <t xml:space="preserve">GNN
</t>
    </r>
    <r>
      <rPr>
        <sz val="8"/>
        <color rgb="FF000000"/>
        <rFont val="Meiryo"/>
        <family val="2"/>
        <charset val="128"/>
      </rPr>
      <t>(HRAPオンサイト)</t>
    </r>
  </si>
  <si>
    <t>INATEC</t>
  </si>
  <si>
    <t>CATIA
(NX)</t>
  </si>
  <si>
    <t>アイエスエンジニアリング</t>
  </si>
  <si>
    <t>製造設備図面作成</t>
  </si>
  <si>
    <t>確認中</t>
  </si>
  <si>
    <t>秘密保持
契約書済み</t>
  </si>
  <si>
    <t>使用
ソフト</t>
    <rPh sb="0" eb="2">
      <t>シヨウ</t>
    </rPh>
    <phoneticPr fontId="10"/>
  </si>
  <si>
    <t>CONTEC</t>
    <phoneticPr fontId="10"/>
  </si>
  <si>
    <t>KS_Metal</t>
    <phoneticPr fontId="10"/>
  </si>
  <si>
    <t>Sankyou
Tateyama</t>
    <phoneticPr fontId="10"/>
  </si>
  <si>
    <t>CATIA必要台数</t>
    <rPh sb="5" eb="7">
      <t>ヒツヨウ</t>
    </rPh>
    <rPh sb="7" eb="9">
      <t>ダイスウ</t>
    </rPh>
    <phoneticPr fontId="10"/>
  </si>
  <si>
    <t>D.Linh, Long onsice</t>
    <phoneticPr fontId="10"/>
  </si>
  <si>
    <t>CATIAトライアル</t>
  </si>
  <si>
    <t>2024年</t>
  </si>
  <si>
    <t>2025年</t>
  </si>
  <si>
    <t>2026年</t>
  </si>
  <si>
    <t>2027年</t>
  </si>
  <si>
    <t>2028年</t>
  </si>
  <si>
    <t>目標</t>
  </si>
  <si>
    <t>売上金額</t>
  </si>
  <si>
    <t>売上金額(円)</t>
  </si>
  <si>
    <t>万円</t>
  </si>
  <si>
    <t>1年License使用料</t>
  </si>
  <si>
    <t>CATIA 生産性の管理表</t>
  </si>
  <si>
    <t>年</t>
  </si>
  <si>
    <t>2023年</t>
  </si>
  <si>
    <t xml:space="preserve">合計(万円)
</t>
  </si>
  <si>
    <t xml:space="preserve">                         月
License</t>
  </si>
  <si>
    <t>2月</t>
  </si>
  <si>
    <t>3月</t>
  </si>
  <si>
    <t>4月</t>
  </si>
  <si>
    <t>5月</t>
  </si>
  <si>
    <t>6月</t>
  </si>
  <si>
    <t>7月</t>
  </si>
  <si>
    <t>回収</t>
  </si>
  <si>
    <t>回収後</t>
  </si>
  <si>
    <t>買取</t>
  </si>
  <si>
    <t>使用料</t>
  </si>
  <si>
    <t>売上</t>
  </si>
  <si>
    <t>リース</t>
  </si>
  <si>
    <t>Onsite  売上</t>
  </si>
  <si>
    <t>回収期間</t>
  </si>
  <si>
    <t>差異</t>
    <phoneticPr fontId="10"/>
  </si>
  <si>
    <t>%</t>
    <phoneticPr fontId="10"/>
  </si>
  <si>
    <t>1年License使用料(7本)</t>
    <rPh sb="14" eb="15">
      <t>ホン</t>
    </rPh>
    <phoneticPr fontId="10"/>
  </si>
  <si>
    <t>GNN（5P45）
(河西テクノ)</t>
    <phoneticPr fontId="10"/>
  </si>
  <si>
    <t>GNN（W13G）
(河西工業)</t>
    <rPh sb="11" eb="13">
      <t>カサイ</t>
    </rPh>
    <rPh sb="13" eb="15">
      <t>コウギョウ</t>
    </rPh>
    <phoneticPr fontId="10"/>
  </si>
  <si>
    <t>GNN（33FY）
(河西テクノ)</t>
    <phoneticPr fontId="10"/>
  </si>
  <si>
    <r>
      <t xml:space="preserve">ISJ
</t>
    </r>
    <r>
      <rPr>
        <sz val="10"/>
        <color rgb="FF000000"/>
        <rFont val="Meiryo"/>
        <family val="3"/>
        <charset val="128"/>
      </rPr>
      <t>(日本オンサイト)</t>
    </r>
    <phoneticPr fontId="10"/>
  </si>
  <si>
    <t>GNN（W13G）
(河西工業オンサイト)</t>
    <rPh sb="11" eb="13">
      <t>カサイ</t>
    </rPh>
    <rPh sb="13" eb="15">
      <t>コウギョウ</t>
    </rPh>
    <phoneticPr fontId="10"/>
  </si>
  <si>
    <t>2024 H2</t>
  </si>
  <si>
    <t>2025 H1</t>
  </si>
  <si>
    <t>2025 H2</t>
  </si>
  <si>
    <t>受託検討中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</si>
</sst>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&quot;¥&quot;#,##0"/>
  </numFmts>
  <fonts count="88">
    <font>
      <sz val="11"/>
      <color theme="1"/>
      <name val="Calibri"/>
      <family val="2"/>
      <scheme val="minor"/>
    </font>
    <font>
      <sz val="12"/>
      <color theme="1"/>
      <name val="Meiryo"/>
      <family val="2"/>
    </font>
    <font>
      <b/>
      <sz val="24"/>
      <color theme="1"/>
      <name val="Meiryo"/>
      <family val="2"/>
    </font>
    <font>
      <b/>
      <sz val="12"/>
      <color theme="1"/>
      <name val="Meiryo"/>
      <family val="2"/>
    </font>
    <font>
      <b/>
      <sz val="14"/>
      <color theme="1"/>
      <name val="Meiryo"/>
      <family val="2"/>
    </font>
    <font>
      <b/>
      <sz val="11"/>
      <color theme="1"/>
      <name val="Meiryo"/>
      <family val="2"/>
    </font>
    <font>
      <sz val="11"/>
      <color theme="1"/>
      <name val="Meiryo"/>
      <family val="2"/>
    </font>
    <font>
      <b/>
      <sz val="12"/>
      <color rgb="FFFF0000"/>
      <name val="Meiryo"/>
      <family val="2"/>
    </font>
    <font>
      <b/>
      <sz val="24"/>
      <color rgb="FF7030A0"/>
      <name val="Meiryo"/>
      <family val="2"/>
    </font>
    <font>
      <b/>
      <sz val="13"/>
      <color rgb="FF7030A0"/>
      <name val="Meiryo"/>
      <family val="2"/>
    </font>
    <font>
      <sz val="6"/>
      <name val="Calibri"/>
      <family val="3"/>
      <charset val="128"/>
      <scheme val="minor"/>
    </font>
    <font>
      <sz val="9"/>
      <color theme="1"/>
      <name val="Meiryo"/>
      <family val="2"/>
    </font>
    <font>
      <b/>
      <sz val="11"/>
      <color rgb="FFFF0000"/>
      <name val="Calibri"/>
      <family val="2"/>
      <scheme val="minor"/>
    </font>
    <font>
      <sz val="12"/>
      <color rgb="FF00B0F0"/>
      <name val="Meiryo"/>
      <family val="2"/>
    </font>
    <font>
      <sz val="12"/>
      <name val="Meiryo"/>
      <family val="2"/>
    </font>
    <font>
      <b/>
      <sz val="12"/>
      <color rgb="FF00B0F0"/>
      <name val="Meiryo"/>
      <family val="2"/>
    </font>
    <font>
      <b/>
      <sz val="12"/>
      <color rgb="FF00B050"/>
      <name val="Meiryo"/>
      <family val="2"/>
    </font>
    <font>
      <b/>
      <sz val="11"/>
      <color rgb="FF00B050"/>
      <name val="Calibri"/>
      <family val="2"/>
      <scheme val="minor"/>
    </font>
    <font>
      <sz val="12"/>
      <color theme="1"/>
      <name val="Meiryo"/>
      <family val="2"/>
      <charset val="128"/>
    </font>
    <font>
      <b/>
      <sz val="12"/>
      <name val="Meiryo"/>
      <family val="2"/>
    </font>
    <font>
      <b/>
      <sz val="12"/>
      <name val="Meiryo"/>
      <family val="2"/>
      <charset val="128"/>
    </font>
    <font>
      <sz val="9"/>
      <color theme="1"/>
      <name val="Meiryo"/>
      <family val="2"/>
      <charset val="128"/>
    </font>
    <font>
      <b/>
      <sz val="12"/>
      <color rgb="FFFF0000"/>
      <name val="Meiryo"/>
      <family val="2"/>
      <charset val="128"/>
    </font>
    <font>
      <sz val="11"/>
      <color rgb="FFFF0000"/>
      <name val="Calibri"/>
      <family val="2"/>
      <scheme val="minor"/>
    </font>
    <font>
      <sz val="12"/>
      <color rgb="FFFF0000"/>
      <name val="Meiryo"/>
      <family val="2"/>
    </font>
    <font>
      <b/>
      <sz val="12"/>
      <color rgb="FF00B0F0"/>
      <name val="Meiryo"/>
      <family val="2"/>
      <charset val="128"/>
    </font>
    <font>
      <sz val="10"/>
      <color theme="1"/>
      <name val="Meiryo"/>
      <family val="2"/>
    </font>
    <font>
      <sz val="10"/>
      <color theme="1"/>
      <name val="Meiryo"/>
      <family val="2"/>
      <charset val="128"/>
    </font>
    <font>
      <sz val="10"/>
      <name val="Meiryo"/>
      <family val="2"/>
      <charset val="128"/>
    </font>
    <font>
      <sz val="14"/>
      <name val="Meiryo"/>
      <family val="2"/>
    </font>
    <font>
      <sz val="14"/>
      <name val="Meiryo"/>
      <family val="2"/>
      <charset val="128"/>
    </font>
    <font>
      <sz val="12"/>
      <color rgb="FFFF0000"/>
      <name val="Meiryo"/>
      <family val="2"/>
      <charset val="128"/>
    </font>
    <font>
      <sz val="14"/>
      <color rgb="FFFF0000"/>
      <name val="Meiryo"/>
      <family val="2"/>
      <charset val="128"/>
    </font>
    <font>
      <sz val="10"/>
      <color rgb="FFFF0000"/>
      <name val="Meiryo"/>
      <family val="2"/>
      <charset val="128"/>
    </font>
    <font>
      <sz val="8"/>
      <color theme="1"/>
      <name val="Meiryo"/>
      <family val="2"/>
      <charset val="128"/>
    </font>
    <font>
      <b/>
      <sz val="12"/>
      <color rgb="FF0000FF"/>
      <name val="Meiryo"/>
      <family val="2"/>
      <charset val="128"/>
    </font>
    <font>
      <sz val="12"/>
      <name val="Meiryo"/>
      <family val="2"/>
      <charset val="128"/>
    </font>
    <font>
      <sz val="10"/>
      <color rgb="FFFF0000"/>
      <name val="Meiryo"/>
      <family val="2"/>
    </font>
    <font>
      <b/>
      <sz val="12"/>
      <color rgb="FF0000FF"/>
      <name val="Meiryo"/>
      <family val="2"/>
    </font>
    <font>
      <sz val="12"/>
      <color rgb="FF00B0F0"/>
      <name val="Meiryo"/>
      <family val="2"/>
      <charset val="128"/>
    </font>
    <font>
      <b/>
      <sz val="12"/>
      <color theme="1"/>
      <name val="Meiryo"/>
      <family val="2"/>
      <charset val="128"/>
    </font>
    <font>
      <b/>
      <sz val="16"/>
      <color rgb="FFFF0000"/>
      <name val="Meiryo"/>
      <family val="2"/>
      <charset val="128"/>
    </font>
    <font>
      <sz val="12"/>
      <color rgb="FF000000"/>
      <name val="Meiryo"/>
      <family val="2"/>
      <charset val="128"/>
    </font>
    <font>
      <sz val="8"/>
      <color rgb="FF000000"/>
      <name val="Meiryo"/>
      <family val="2"/>
      <charset val="128"/>
    </font>
    <font>
      <b/>
      <sz val="12"/>
      <color rgb="FF00B0F0"/>
      <name val="Meiryo"/>
      <charset val="128"/>
    </font>
    <font>
      <b/>
      <sz val="12"/>
      <color rgb="FF00B0F0"/>
      <name val="Meiryo"/>
      <family val="3"/>
      <charset val="128"/>
    </font>
    <font>
      <b/>
      <sz val="12"/>
      <color rgb="FFFF0000"/>
      <name val="Meiryo"/>
      <family val="3"/>
      <charset val="128"/>
    </font>
    <font>
      <b/>
      <sz val="12"/>
      <color rgb="FF0000FF"/>
      <name val="Meiryo"/>
      <family val="3"/>
      <charset val="128"/>
    </font>
    <font>
      <sz val="12"/>
      <color rgb="FF000000"/>
      <name val="Meiryo"/>
      <family val="3"/>
      <charset val="128"/>
    </font>
    <font>
      <sz val="10"/>
      <color rgb="FF000000"/>
      <name val="Meiryo"/>
      <family val="3"/>
      <charset val="128"/>
    </font>
    <font>
      <sz val="12"/>
      <color rgb="FFFF0000"/>
      <name val="Meiryo"/>
      <charset val="128"/>
    </font>
    <font>
      <sz val="12"/>
      <color rgb="FFFF0000"/>
      <name val="Meiryo"/>
      <family val="3"/>
      <charset val="128"/>
    </font>
    <font>
      <sz val="10"/>
      <color rgb="FF000000"/>
      <name val="Meiryo"/>
      <family val="2"/>
      <charset val="128"/>
    </font>
    <font>
      <sz val="12"/>
      <color rgb="FF000000"/>
      <name val="Meiryo"/>
      <family val="2"/>
    </font>
    <font>
      <sz val="11"/>
      <color rgb="FF000000"/>
      <name val="Calibri"/>
      <family val="2"/>
      <scheme val="minor"/>
    </font>
    <font>
      <b/>
      <sz val="12"/>
      <color theme="1"/>
      <name val="Meiryo"/>
      <charset val="128"/>
    </font>
    <font>
      <sz val="10"/>
      <color rgb="FFFF0000"/>
      <name val="Meiryo"/>
      <family val="3"/>
      <charset val="128"/>
    </font>
    <font>
      <b/>
      <sz val="12"/>
      <color rgb="FF0000FF"/>
      <name val="Meiryo"/>
      <charset val="128"/>
    </font>
    <font>
      <sz val="10"/>
      <color rgb="FFFF0000"/>
      <name val="Meiryo"/>
      <charset val="128"/>
    </font>
    <font>
      <b/>
      <sz val="12"/>
      <color rgb="FF00B0F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2"/>
      <color rgb="FF0000FF"/>
      <name val="Meiryo"/>
      <family val="2"/>
    </font>
    <font>
      <b/>
      <sz val="12"/>
      <color theme="1"/>
      <name val="Meiryo"/>
      <family val="3"/>
      <charset val="128"/>
    </font>
    <font>
      <sz val="12"/>
      <color theme="1"/>
      <name val="Meiryo"/>
      <charset val="128"/>
    </font>
    <font>
      <sz val="12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b/>
      <sz val="12"/>
      <color rgb="FFFF0000"/>
      <name val="Meiryo"/>
      <charset val="128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2"/>
      <name val="Meiryo"/>
      <family val="2"/>
    </font>
    <font>
      <sz val="12"/>
      <color theme="2"/>
      <name val="Meiryo"/>
      <charset val="128"/>
    </font>
    <font>
      <sz val="10"/>
      <color theme="2"/>
      <name val="Meiryo"/>
      <family val="3"/>
      <charset val="128"/>
    </font>
    <font>
      <b/>
      <sz val="12"/>
      <color theme="2"/>
      <name val="Meiryo"/>
      <family val="2"/>
    </font>
    <font>
      <b/>
      <sz val="12"/>
      <color theme="2"/>
      <name val="Meiryo"/>
      <family val="2"/>
      <charset val="128"/>
    </font>
    <font>
      <b/>
      <sz val="12"/>
      <color theme="2"/>
      <name val="Calibri"/>
      <family val="2"/>
      <scheme val="minor"/>
    </font>
    <font>
      <b/>
      <sz val="12"/>
      <color theme="2"/>
      <name val="Meiryo"/>
      <charset val="128"/>
    </font>
    <font>
      <sz val="11"/>
      <color theme="2"/>
      <name val="Calibri"/>
      <family val="2"/>
      <scheme val="minor"/>
    </font>
    <font>
      <sz val="10"/>
      <color theme="2"/>
      <name val="Meiryo"/>
      <family val="2"/>
      <charset val="128"/>
    </font>
    <font>
      <sz val="12"/>
      <color rgb="FFFF0000"/>
      <name val="Meiryo"/>
    </font>
    <font>
      <sz val="12"/>
      <name val="Meiryo"/>
    </font>
    <font>
      <sz val="12"/>
      <color rgb="FF00B0F0"/>
      <name val="Meiryo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indexed="64"/>
      </right>
      <top style="hair">
        <color indexed="64"/>
      </top>
      <bottom style="medium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000000"/>
      </bottom>
      <diagonal/>
    </border>
    <border>
      <left style="hair">
        <color indexed="64"/>
      </left>
      <right style="hair">
        <color indexed="64"/>
      </right>
      <top/>
      <bottom style="medium">
        <color rgb="FF000000"/>
      </bottom>
      <diagonal/>
    </border>
    <border>
      <left style="hair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 style="medium">
        <color auto="1"/>
      </bottom>
      <diagonal/>
    </border>
    <border>
      <left/>
      <right style="thick">
        <color auto="1"/>
      </right>
      <top style="medium">
        <color rgb="FF000000"/>
      </top>
      <bottom style="medium">
        <color auto="1"/>
      </bottom>
      <diagonal/>
    </border>
    <border>
      <left style="hair">
        <color indexed="64"/>
      </left>
      <right/>
      <top/>
      <bottom style="medium">
        <color rgb="FF000000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medium">
        <color rgb="FF000000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auto="1"/>
      </bottom>
      <diagonal/>
    </border>
    <border>
      <left style="hair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rgb="FF000000"/>
      </right>
      <top style="medium">
        <color indexed="64"/>
      </top>
      <bottom/>
      <diagonal/>
    </border>
    <border>
      <left style="hair">
        <color indexed="64"/>
      </left>
      <right style="thin">
        <color rgb="FF000000"/>
      </right>
      <top/>
      <bottom/>
      <diagonal/>
    </border>
    <border>
      <left style="hair">
        <color indexed="64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rgb="FFFF0000"/>
      </right>
      <top style="hair">
        <color indexed="64"/>
      </top>
      <bottom style="hair">
        <color indexed="64"/>
      </bottom>
      <diagonal/>
    </border>
    <border>
      <left/>
      <right style="thin">
        <color rgb="FFFF0000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medium">
        <color indexed="64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/>
      <right style="thin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Dashed">
        <color rgb="FFFF0000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mediumDashed">
        <color rgb="FFFF0000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Dashed">
        <color rgb="FFFF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double">
        <color indexed="64"/>
      </left>
      <right/>
      <top style="thin">
        <color indexed="64"/>
      </top>
      <bottom/>
      <diagonal style="thin">
        <color indexed="64"/>
      </diagonal>
    </border>
    <border diagonalUp="1" diagonalDown="1">
      <left/>
      <right/>
      <top style="thin">
        <color indexed="64"/>
      </top>
      <bottom/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double">
        <color indexed="64"/>
      </left>
      <right/>
      <top/>
      <bottom/>
      <diagonal style="thin">
        <color indexed="64"/>
      </diagonal>
    </border>
    <border diagonalUp="1" diagonalDown="1">
      <left/>
      <right/>
      <top/>
      <bottom/>
      <diagonal style="thin">
        <color indexed="64"/>
      </diagonal>
    </border>
    <border diagonalUp="1" diagonalDown="1">
      <left/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 style="mediumDashed">
        <color rgb="FFFF0000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 diagonalUp="1" diagonalDown="1">
      <left style="double">
        <color indexed="64"/>
      </left>
      <right/>
      <top/>
      <bottom style="double">
        <color indexed="64"/>
      </bottom>
      <diagonal style="thin">
        <color indexed="64"/>
      </diagonal>
    </border>
    <border diagonalUp="1" diagonalDown="1">
      <left/>
      <right/>
      <top/>
      <bottom style="double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/>
      <bottom style="double">
        <color indexed="64"/>
      </bottom>
      <diagonal style="thin">
        <color indexed="64"/>
      </diagonal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Dashed">
        <color rgb="FFFF0000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 diagonalUp="1" diagonalDown="1">
      <left style="double">
        <color indexed="64"/>
      </left>
      <right/>
      <top style="double">
        <color indexed="64"/>
      </top>
      <bottom/>
      <diagonal style="thin">
        <color indexed="64"/>
      </diagonal>
    </border>
    <border diagonalUp="1" diagonalDown="1">
      <left/>
      <right/>
      <top style="double">
        <color indexed="64"/>
      </top>
      <bottom/>
      <diagonal style="thin">
        <color indexed="64"/>
      </diagonal>
    </border>
    <border diagonalUp="1" diagonalDown="1">
      <left/>
      <right style="thin">
        <color indexed="64"/>
      </right>
      <top style="double">
        <color indexed="64"/>
      </top>
      <bottom/>
      <diagonal style="thin">
        <color indexed="64"/>
      </diagonal>
    </border>
    <border>
      <left style="thin">
        <color indexed="64"/>
      </left>
      <right style="mediumDashed">
        <color rgb="FFFF0000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</borders>
  <cellStyleXfs count="1">
    <xf numFmtId="0" fontId="0" fillId="0" borderId="0"/>
  </cellStyleXfs>
  <cellXfs count="82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5" fillId="3" borderId="5" xfId="0" applyFont="1" applyFill="1" applyBorder="1"/>
    <xf numFmtId="0" fontId="6" fillId="3" borderId="5" xfId="0" applyFont="1" applyFill="1" applyBorder="1" applyAlignment="1">
      <alignment horizontal="center" vertical="center"/>
    </xf>
    <xf numFmtId="0" fontId="5" fillId="3" borderId="8" xfId="0" applyFont="1" applyFill="1" applyBorder="1"/>
    <xf numFmtId="0" fontId="6" fillId="3" borderId="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5" fillId="3" borderId="13" xfId="0" applyFont="1" applyFill="1" applyBorder="1"/>
    <xf numFmtId="0" fontId="6" fillId="3" borderId="13" xfId="0" applyFont="1" applyFill="1" applyBorder="1" applyAlignment="1">
      <alignment horizontal="center" vertical="center"/>
    </xf>
    <xf numFmtId="0" fontId="5" fillId="3" borderId="16" xfId="0" applyFont="1" applyFill="1" applyBorder="1"/>
    <xf numFmtId="0" fontId="6" fillId="3" borderId="16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4" borderId="11" xfId="0" applyFont="1" applyFill="1" applyBorder="1"/>
    <xf numFmtId="0" fontId="9" fillId="4" borderId="12" xfId="0" applyFont="1" applyFill="1" applyBorder="1" applyAlignment="1">
      <alignment horizontal="center" vertical="center"/>
    </xf>
    <xf numFmtId="0" fontId="1" fillId="2" borderId="1" xfId="0" applyFont="1" applyFill="1" applyBorder="1"/>
    <xf numFmtId="3" fontId="1" fillId="2" borderId="0" xfId="0" applyNumberFormat="1" applyFont="1" applyFill="1" applyAlignment="1">
      <alignment horizontal="left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/>
    <xf numFmtId="0" fontId="1" fillId="2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/>
    <xf numFmtId="0" fontId="1" fillId="5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/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wrapText="1"/>
    </xf>
    <xf numFmtId="0" fontId="11" fillId="2" borderId="33" xfId="0" applyFont="1" applyFill="1" applyBorder="1" applyAlignment="1">
      <alignment horizontal="center" wrapText="1"/>
    </xf>
    <xf numFmtId="0" fontId="11" fillId="2" borderId="34" xfId="0" applyFont="1" applyFill="1" applyBorder="1" applyAlignment="1">
      <alignment horizontal="center" wrapText="1"/>
    </xf>
    <xf numFmtId="0" fontId="11" fillId="2" borderId="41" xfId="0" applyFont="1" applyFill="1" applyBorder="1" applyAlignment="1">
      <alignment horizontal="center" wrapText="1"/>
    </xf>
    <xf numFmtId="0" fontId="1" fillId="2" borderId="42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13" fillId="2" borderId="29" xfId="0" applyFont="1" applyFill="1" applyBorder="1"/>
    <xf numFmtId="0" fontId="13" fillId="2" borderId="27" xfId="0" applyFont="1" applyFill="1" applyBorder="1"/>
    <xf numFmtId="0" fontId="1" fillId="6" borderId="1" xfId="0" applyFont="1" applyFill="1" applyBorder="1"/>
    <xf numFmtId="0" fontId="1" fillId="2" borderId="64" xfId="0" applyFont="1" applyFill="1" applyBorder="1" applyAlignment="1">
      <alignment horizontal="center" vertical="center"/>
    </xf>
    <xf numFmtId="0" fontId="13" fillId="2" borderId="22" xfId="0" applyFont="1" applyFill="1" applyBorder="1"/>
    <xf numFmtId="0" fontId="15" fillId="2" borderId="55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1" fillId="2" borderId="55" xfId="0" applyFont="1" applyFill="1" applyBorder="1"/>
    <xf numFmtId="0" fontId="1" fillId="2" borderId="70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" fillId="2" borderId="73" xfId="0" applyFont="1" applyFill="1" applyBorder="1"/>
    <xf numFmtId="0" fontId="1" fillId="2" borderId="73" xfId="0" applyFont="1" applyFill="1" applyBorder="1" applyAlignment="1">
      <alignment horizontal="center" vertical="center"/>
    </xf>
    <xf numFmtId="0" fontId="14" fillId="6" borderId="5" xfId="0" applyFont="1" applyFill="1" applyBorder="1"/>
    <xf numFmtId="0" fontId="18" fillId="4" borderId="74" xfId="0" applyFont="1" applyFill="1" applyBorder="1" applyAlignment="1">
      <alignment horizontal="center" vertical="center"/>
    </xf>
    <xf numFmtId="0" fontId="18" fillId="4" borderId="75" xfId="0" applyFont="1" applyFill="1" applyBorder="1" applyAlignment="1">
      <alignment horizontal="center" vertical="center"/>
    </xf>
    <xf numFmtId="0" fontId="14" fillId="2" borderId="29" xfId="0" applyFont="1" applyFill="1" applyBorder="1"/>
    <xf numFmtId="0" fontId="14" fillId="2" borderId="27" xfId="0" applyFont="1" applyFill="1" applyBorder="1"/>
    <xf numFmtId="0" fontId="19" fillId="7" borderId="25" xfId="0" applyFont="1" applyFill="1" applyBorder="1" applyAlignment="1">
      <alignment vertical="center"/>
    </xf>
    <xf numFmtId="0" fontId="19" fillId="7" borderId="71" xfId="0" applyFont="1" applyFill="1" applyBorder="1" applyAlignment="1">
      <alignment vertical="center"/>
    </xf>
    <xf numFmtId="0" fontId="19" fillId="2" borderId="72" xfId="0" applyFont="1" applyFill="1" applyBorder="1" applyAlignment="1">
      <alignment vertical="center"/>
    </xf>
    <xf numFmtId="0" fontId="19" fillId="7" borderId="59" xfId="0" applyFont="1" applyFill="1" applyBorder="1" applyAlignment="1">
      <alignment vertical="center"/>
    </xf>
    <xf numFmtId="0" fontId="19" fillId="7" borderId="65" xfId="0" applyFont="1" applyFill="1" applyBorder="1" applyAlignment="1">
      <alignment vertical="center"/>
    </xf>
    <xf numFmtId="0" fontId="19" fillId="2" borderId="66" xfId="0" applyFont="1" applyFill="1" applyBorder="1" applyAlignment="1">
      <alignment vertical="center"/>
    </xf>
    <xf numFmtId="0" fontId="18" fillId="2" borderId="0" xfId="0" applyFont="1" applyFill="1"/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wrapText="1"/>
    </xf>
    <xf numFmtId="0" fontId="18" fillId="2" borderId="28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18" fillId="2" borderId="55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8" fillId="2" borderId="47" xfId="0" applyFont="1" applyFill="1" applyBorder="1" applyAlignment="1">
      <alignment horizontal="center" vertical="center"/>
    </xf>
    <xf numFmtId="0" fontId="21" fillId="2" borderId="77" xfId="0" applyFont="1" applyFill="1" applyBorder="1" applyAlignment="1">
      <alignment horizontal="center" wrapText="1"/>
    </xf>
    <xf numFmtId="0" fontId="3" fillId="2" borderId="5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3" borderId="81" xfId="0" applyFont="1" applyFill="1" applyBorder="1" applyAlignment="1">
      <alignment horizontal="center" vertical="center"/>
    </xf>
    <xf numFmtId="0" fontId="1" fillId="4" borderId="82" xfId="0" applyFont="1" applyFill="1" applyBorder="1" applyAlignment="1">
      <alignment horizontal="center" vertical="center"/>
    </xf>
    <xf numFmtId="0" fontId="1" fillId="4" borderId="83" xfId="0" applyFont="1" applyFill="1" applyBorder="1" applyAlignment="1">
      <alignment horizontal="center" vertical="center"/>
    </xf>
    <xf numFmtId="0" fontId="1" fillId="4" borderId="84" xfId="0" applyFont="1" applyFill="1" applyBorder="1" applyAlignment="1">
      <alignment horizontal="center" vertical="center"/>
    </xf>
    <xf numFmtId="0" fontId="1" fillId="4" borderId="85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73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55" xfId="0" applyFont="1" applyFill="1" applyBorder="1" applyAlignment="1">
      <alignment horizontal="center" vertical="center"/>
    </xf>
    <xf numFmtId="0" fontId="1" fillId="4" borderId="0" xfId="0" applyFont="1" applyFill="1"/>
    <xf numFmtId="0" fontId="24" fillId="2" borderId="2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4" fillId="6" borderId="0" xfId="0" applyFont="1" applyFill="1"/>
    <xf numFmtId="0" fontId="1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" fillId="2" borderId="68" xfId="0" applyFont="1" applyFill="1" applyBorder="1"/>
    <xf numFmtId="0" fontId="13" fillId="2" borderId="68" xfId="0" applyFont="1" applyFill="1" applyBorder="1"/>
    <xf numFmtId="0" fontId="1" fillId="2" borderId="72" xfId="0" applyFont="1" applyFill="1" applyBorder="1"/>
    <xf numFmtId="0" fontId="13" fillId="2" borderId="72" xfId="0" applyFont="1" applyFill="1" applyBorder="1"/>
    <xf numFmtId="0" fontId="14" fillId="2" borderId="68" xfId="0" applyFont="1" applyFill="1" applyBorder="1"/>
    <xf numFmtId="0" fontId="14" fillId="2" borderId="86" xfId="0" applyFont="1" applyFill="1" applyBorder="1"/>
    <xf numFmtId="0" fontId="1" fillId="3" borderId="57" xfId="0" applyFont="1" applyFill="1" applyBorder="1" applyAlignment="1">
      <alignment horizontal="center" vertical="center"/>
    </xf>
    <xf numFmtId="0" fontId="1" fillId="2" borderId="87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/>
    </xf>
    <xf numFmtId="0" fontId="14" fillId="2" borderId="88" xfId="0" applyFont="1" applyFill="1" applyBorder="1" applyAlignment="1">
      <alignment horizontal="center" vertical="center"/>
    </xf>
    <xf numFmtId="0" fontId="14" fillId="2" borderId="89" xfId="0" applyFont="1" applyFill="1" applyBorder="1" applyAlignment="1">
      <alignment horizontal="center" vertical="center"/>
    </xf>
    <xf numFmtId="0" fontId="1" fillId="5" borderId="87" xfId="0" applyFont="1" applyFill="1" applyBorder="1" applyAlignment="1">
      <alignment horizontal="center" vertical="center"/>
    </xf>
    <xf numFmtId="0" fontId="1" fillId="5" borderId="90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22" fillId="2" borderId="5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5" borderId="69" xfId="0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 wrapText="1"/>
    </xf>
    <xf numFmtId="0" fontId="27" fillId="2" borderId="29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55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72" xfId="0" applyFont="1" applyFill="1" applyBorder="1" applyAlignment="1">
      <alignment horizontal="center" vertical="center"/>
    </xf>
    <xf numFmtId="0" fontId="1" fillId="2" borderId="92" xfId="0" applyFont="1" applyFill="1" applyBorder="1" applyAlignment="1">
      <alignment horizontal="center" vertical="center"/>
    </xf>
    <xf numFmtId="0" fontId="1" fillId="4" borderId="61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4" borderId="97" xfId="0" applyFont="1" applyFill="1" applyBorder="1" applyAlignment="1">
      <alignment horizontal="center" vertical="center"/>
    </xf>
    <xf numFmtId="0" fontId="1" fillId="4" borderId="98" xfId="0" applyFont="1" applyFill="1" applyBorder="1" applyAlignment="1">
      <alignment horizontal="center" vertical="center"/>
    </xf>
    <xf numFmtId="0" fontId="15" fillId="4" borderId="99" xfId="0" applyFont="1" applyFill="1" applyBorder="1" applyAlignment="1">
      <alignment horizontal="center" vertical="center"/>
    </xf>
    <xf numFmtId="0" fontId="1" fillId="4" borderId="99" xfId="0" applyFont="1" applyFill="1" applyBorder="1" applyAlignment="1">
      <alignment horizontal="center" vertical="center"/>
    </xf>
    <xf numFmtId="0" fontId="15" fillId="4" borderId="100" xfId="0" applyFont="1" applyFill="1" applyBorder="1" applyAlignment="1">
      <alignment horizontal="center" vertical="center"/>
    </xf>
    <xf numFmtId="0" fontId="1" fillId="4" borderId="6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8" fillId="4" borderId="103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" fillId="4" borderId="104" xfId="0" applyFont="1" applyFill="1" applyBorder="1" applyAlignment="1">
      <alignment horizontal="center" vertical="center"/>
    </xf>
    <xf numFmtId="0" fontId="1" fillId="4" borderId="105" xfId="0" applyFont="1" applyFill="1" applyBorder="1" applyAlignment="1">
      <alignment horizontal="center" vertical="center"/>
    </xf>
    <xf numFmtId="0" fontId="1" fillId="4" borderId="5" xfId="0" applyFont="1" applyFill="1" applyBorder="1"/>
    <xf numFmtId="0" fontId="15" fillId="4" borderId="6" xfId="0" applyFont="1" applyFill="1" applyBorder="1" applyAlignment="1">
      <alignment horizontal="center"/>
    </xf>
    <xf numFmtId="0" fontId="1" fillId="4" borderId="101" xfId="0" applyFont="1" applyFill="1" applyBorder="1"/>
    <xf numFmtId="0" fontId="1" fillId="3" borderId="113" xfId="0" applyFont="1" applyFill="1" applyBorder="1" applyAlignment="1">
      <alignment horizontal="center" vertical="center"/>
    </xf>
    <xf numFmtId="0" fontId="1" fillId="4" borderId="93" xfId="0" applyFont="1" applyFill="1" applyBorder="1"/>
    <xf numFmtId="0" fontId="13" fillId="4" borderId="99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15" fillId="4" borderId="114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5" fillId="9" borderId="55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9" borderId="22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center" vertical="center"/>
    </xf>
    <xf numFmtId="0" fontId="35" fillId="2" borderId="72" xfId="0" applyFont="1" applyFill="1" applyBorder="1" applyAlignment="1">
      <alignment horizontal="center" vertical="center"/>
    </xf>
    <xf numFmtId="0" fontId="35" fillId="2" borderId="22" xfId="0" applyFont="1" applyFill="1" applyBorder="1" applyAlignment="1">
      <alignment horizontal="center" vertical="center"/>
    </xf>
    <xf numFmtId="0" fontId="35" fillId="2" borderId="25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4" borderId="63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5" fillId="4" borderId="61" xfId="0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0" fontId="18" fillId="0" borderId="0" xfId="0" applyFont="1"/>
    <xf numFmtId="0" fontId="39" fillId="2" borderId="0" xfId="0" applyFont="1" applyFill="1"/>
    <xf numFmtId="0" fontId="1" fillId="11" borderId="22" xfId="0" applyFont="1" applyFill="1" applyBorder="1" applyAlignment="1">
      <alignment horizontal="center" vertical="center"/>
    </xf>
    <xf numFmtId="0" fontId="1" fillId="11" borderId="72" xfId="0" applyFont="1" applyFill="1" applyBorder="1" applyAlignment="1">
      <alignment horizontal="center" vertical="center"/>
    </xf>
    <xf numFmtId="0" fontId="40" fillId="4" borderId="98" xfId="0" applyFont="1" applyFill="1" applyBorder="1" applyAlignment="1">
      <alignment horizontal="center" vertical="center"/>
    </xf>
    <xf numFmtId="0" fontId="40" fillId="4" borderId="99" xfId="0" applyFont="1" applyFill="1" applyBorder="1" applyAlignment="1">
      <alignment horizontal="center" vertical="center"/>
    </xf>
    <xf numFmtId="0" fontId="40" fillId="9" borderId="99" xfId="0" applyFont="1" applyFill="1" applyBorder="1" applyAlignment="1">
      <alignment horizontal="center" vertical="center"/>
    </xf>
    <xf numFmtId="0" fontId="41" fillId="12" borderId="0" xfId="0" applyFont="1" applyFill="1"/>
    <xf numFmtId="0" fontId="15" fillId="11" borderId="22" xfId="0" applyFont="1" applyFill="1" applyBorder="1" applyAlignment="1">
      <alignment horizontal="center" vertical="center"/>
    </xf>
    <xf numFmtId="0" fontId="25" fillId="11" borderId="22" xfId="0" applyFont="1" applyFill="1" applyBorder="1" applyAlignment="1">
      <alignment horizontal="center" vertical="center"/>
    </xf>
    <xf numFmtId="0" fontId="18" fillId="2" borderId="96" xfId="0" applyFont="1" applyFill="1" applyBorder="1" applyAlignment="1">
      <alignment horizontal="center" vertical="center"/>
    </xf>
    <xf numFmtId="0" fontId="25" fillId="4" borderId="99" xfId="0" applyFont="1" applyFill="1" applyBorder="1" applyAlignment="1">
      <alignment horizontal="center" vertical="center"/>
    </xf>
    <xf numFmtId="0" fontId="35" fillId="4" borderId="99" xfId="0" applyFont="1" applyFill="1" applyBorder="1" applyAlignment="1">
      <alignment horizontal="center" vertical="center"/>
    </xf>
    <xf numFmtId="0" fontId="25" fillId="2" borderId="72" xfId="0" applyFont="1" applyFill="1" applyBorder="1" applyAlignment="1">
      <alignment horizontal="center" vertical="center"/>
    </xf>
    <xf numFmtId="0" fontId="20" fillId="4" borderId="99" xfId="0" applyFont="1" applyFill="1" applyBorder="1" applyAlignment="1">
      <alignment horizontal="center" vertical="center"/>
    </xf>
    <xf numFmtId="0" fontId="25" fillId="11" borderId="99" xfId="0" applyFont="1" applyFill="1" applyBorder="1" applyAlignment="1">
      <alignment horizontal="center" vertical="center"/>
    </xf>
    <xf numFmtId="0" fontId="25" fillId="4" borderId="114" xfId="0" applyFont="1" applyFill="1" applyBorder="1" applyAlignment="1">
      <alignment horizontal="center" vertical="center"/>
    </xf>
    <xf numFmtId="0" fontId="25" fillId="4" borderId="100" xfId="0" applyFont="1" applyFill="1" applyBorder="1" applyAlignment="1">
      <alignment horizontal="center" vertical="center"/>
    </xf>
    <xf numFmtId="0" fontId="18" fillId="11" borderId="22" xfId="0" applyFont="1" applyFill="1" applyBorder="1" applyAlignment="1">
      <alignment horizontal="center" vertical="center"/>
    </xf>
    <xf numFmtId="0" fontId="22" fillId="2" borderId="96" xfId="0" applyFont="1" applyFill="1" applyBorder="1" applyAlignment="1">
      <alignment horizontal="center" vertical="center"/>
    </xf>
    <xf numFmtId="0" fontId="22" fillId="2" borderId="73" xfId="0" applyFont="1" applyFill="1" applyBorder="1" applyAlignment="1">
      <alignment horizontal="center" vertical="center"/>
    </xf>
    <xf numFmtId="0" fontId="22" fillId="2" borderId="92" xfId="0" applyFont="1" applyFill="1" applyBorder="1" applyAlignment="1">
      <alignment horizontal="center" vertical="center"/>
    </xf>
    <xf numFmtId="0" fontId="22" fillId="2" borderId="72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22" fillId="2" borderId="25" xfId="0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/>
    </xf>
    <xf numFmtId="0" fontId="45" fillId="4" borderId="5" xfId="0" applyFont="1" applyFill="1" applyBorder="1" applyAlignment="1">
      <alignment horizontal="center" vertical="center"/>
    </xf>
    <xf numFmtId="0" fontId="46" fillId="4" borderId="5" xfId="0" applyFont="1" applyFill="1" applyBorder="1" applyAlignment="1">
      <alignment horizontal="center" vertical="center"/>
    </xf>
    <xf numFmtId="0" fontId="47" fillId="4" borderId="99" xfId="0" applyFont="1" applyFill="1" applyBorder="1" applyAlignment="1">
      <alignment horizontal="center" vertical="center"/>
    </xf>
    <xf numFmtId="0" fontId="47" fillId="2" borderId="22" xfId="0" applyFont="1" applyFill="1" applyBorder="1" applyAlignment="1">
      <alignment horizontal="center" vertical="center"/>
    </xf>
    <xf numFmtId="0" fontId="47" fillId="2" borderId="72" xfId="0" applyFont="1" applyFill="1" applyBorder="1" applyAlignment="1">
      <alignment horizontal="center" vertical="center"/>
    </xf>
    <xf numFmtId="0" fontId="47" fillId="2" borderId="99" xfId="0" applyFont="1" applyFill="1" applyBorder="1" applyAlignment="1">
      <alignment horizontal="center" vertical="center"/>
    </xf>
    <xf numFmtId="0" fontId="47" fillId="11" borderId="22" xfId="0" applyFont="1" applyFill="1" applyBorder="1" applyAlignment="1">
      <alignment horizontal="center" vertical="center"/>
    </xf>
    <xf numFmtId="0" fontId="47" fillId="2" borderId="29" xfId="0" applyFont="1" applyFill="1" applyBorder="1" applyAlignment="1">
      <alignment horizontal="center" vertical="center"/>
    </xf>
    <xf numFmtId="0" fontId="47" fillId="11" borderId="99" xfId="0" applyFont="1" applyFill="1" applyBorder="1" applyAlignment="1">
      <alignment horizontal="center" vertical="center"/>
    </xf>
    <xf numFmtId="0" fontId="47" fillId="2" borderId="114" xfId="0" applyFont="1" applyFill="1" applyBorder="1" applyAlignment="1">
      <alignment horizontal="center" vertical="center"/>
    </xf>
    <xf numFmtId="0" fontId="1" fillId="4" borderId="115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9" fillId="7" borderId="22" xfId="0" applyFont="1" applyFill="1" applyBorder="1" applyAlignment="1">
      <alignment vertical="center"/>
    </xf>
    <xf numFmtId="0" fontId="19" fillId="2" borderId="22" xfId="0" applyFont="1" applyFill="1" applyBorder="1" applyAlignment="1">
      <alignment vertical="center"/>
    </xf>
    <xf numFmtId="164" fontId="1" fillId="2" borderId="0" xfId="0" applyNumberFormat="1" applyFont="1" applyFill="1"/>
    <xf numFmtId="164" fontId="61" fillId="2" borderId="0" xfId="0" applyNumberFormat="1" applyFont="1" applyFill="1" applyAlignment="1">
      <alignment horizontal="center" vertical="center"/>
    </xf>
    <xf numFmtId="164" fontId="1" fillId="0" borderId="0" xfId="0" applyNumberFormat="1" applyFont="1"/>
    <xf numFmtId="164" fontId="2" fillId="2" borderId="0" xfId="0" applyNumberFormat="1" applyFont="1" applyFill="1" applyAlignment="1">
      <alignment horizontal="center"/>
    </xf>
    <xf numFmtId="164" fontId="38" fillId="2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41" fillId="12" borderId="0" xfId="0" applyNumberFormat="1" applyFont="1" applyFill="1"/>
    <xf numFmtId="164" fontId="1" fillId="3" borderId="32" xfId="0" applyNumberFormat="1" applyFont="1" applyFill="1" applyBorder="1" applyAlignment="1">
      <alignment horizontal="center" vertical="center"/>
    </xf>
    <xf numFmtId="164" fontId="1" fillId="3" borderId="33" xfId="0" applyNumberFormat="1" applyFont="1" applyFill="1" applyBorder="1" applyAlignment="1">
      <alignment horizontal="center" vertical="center"/>
    </xf>
    <xf numFmtId="164" fontId="62" fillId="4" borderId="81" xfId="0" applyNumberFormat="1" applyFont="1" applyFill="1" applyBorder="1" applyAlignment="1">
      <alignment horizontal="center" vertical="center"/>
    </xf>
    <xf numFmtId="164" fontId="1" fillId="3" borderId="95" xfId="0" applyNumberFormat="1" applyFont="1" applyFill="1" applyBorder="1" applyAlignment="1">
      <alignment horizontal="center" vertical="center"/>
    </xf>
    <xf numFmtId="164" fontId="1" fillId="3" borderId="113" xfId="0" applyNumberFormat="1" applyFont="1" applyFill="1" applyBorder="1" applyAlignment="1">
      <alignment horizontal="center" vertical="center"/>
    </xf>
    <xf numFmtId="164" fontId="62" fillId="4" borderId="97" xfId="0" applyNumberFormat="1" applyFont="1" applyFill="1" applyBorder="1" applyAlignment="1">
      <alignment horizontal="center" vertical="center"/>
    </xf>
    <xf numFmtId="164" fontId="35" fillId="0" borderId="22" xfId="0" applyNumberFormat="1" applyFont="1" applyBorder="1" applyAlignment="1">
      <alignment horizontal="center" vertical="center"/>
    </xf>
    <xf numFmtId="164" fontId="35" fillId="0" borderId="25" xfId="0" applyNumberFormat="1" applyFont="1" applyBorder="1" applyAlignment="1">
      <alignment horizontal="center" vertical="center"/>
    </xf>
    <xf numFmtId="164" fontId="60" fillId="0" borderId="73" xfId="0" applyNumberFormat="1" applyFont="1" applyBorder="1" applyAlignment="1">
      <alignment horizontal="center" vertical="center"/>
    </xf>
    <xf numFmtId="164" fontId="35" fillId="4" borderId="127" xfId="0" applyNumberFormat="1" applyFont="1" applyFill="1" applyBorder="1" applyAlignment="1">
      <alignment horizontal="center" vertical="center"/>
    </xf>
    <xf numFmtId="164" fontId="35" fillId="4" borderId="99" xfId="0" applyNumberFormat="1" applyFont="1" applyFill="1" applyBorder="1" applyAlignment="1">
      <alignment horizontal="center" vertical="center"/>
    </xf>
    <xf numFmtId="164" fontId="44" fillId="0" borderId="22" xfId="0" applyNumberFormat="1" applyFont="1" applyBorder="1" applyAlignment="1">
      <alignment horizontal="center" vertical="center"/>
    </xf>
    <xf numFmtId="164" fontId="44" fillId="0" borderId="25" xfId="0" applyNumberFormat="1" applyFont="1" applyBorder="1" applyAlignment="1">
      <alignment horizontal="center" vertical="center"/>
    </xf>
    <xf numFmtId="164" fontId="60" fillId="0" borderId="22" xfId="0" applyNumberFormat="1" applyFont="1" applyBorder="1" applyAlignment="1">
      <alignment horizontal="center" vertical="center"/>
    </xf>
    <xf numFmtId="164" fontId="55" fillId="4" borderId="127" xfId="0" applyNumberFormat="1" applyFont="1" applyFill="1" applyBorder="1" applyAlignment="1">
      <alignment horizontal="center" vertical="center"/>
    </xf>
    <xf numFmtId="164" fontId="25" fillId="0" borderId="72" xfId="0" applyNumberFormat="1" applyFont="1" applyBorder="1" applyAlignment="1">
      <alignment horizontal="center" vertical="center"/>
    </xf>
    <xf numFmtId="164" fontId="25" fillId="0" borderId="22" xfId="0" applyNumberFormat="1" applyFont="1" applyBorder="1" applyAlignment="1">
      <alignment horizontal="center" vertical="center"/>
    </xf>
    <xf numFmtId="164" fontId="20" fillId="4" borderId="99" xfId="0" applyNumberFormat="1" applyFont="1" applyFill="1" applyBorder="1" applyAlignment="1">
      <alignment horizontal="center" vertical="center"/>
    </xf>
    <xf numFmtId="164" fontId="35" fillId="13" borderId="25" xfId="0" applyNumberFormat="1" applyFont="1" applyFill="1" applyBorder="1" applyAlignment="1">
      <alignment horizontal="center" vertical="center"/>
    </xf>
    <xf numFmtId="164" fontId="60" fillId="13" borderId="22" xfId="0" applyNumberFormat="1" applyFont="1" applyFill="1" applyBorder="1" applyAlignment="1">
      <alignment horizontal="center" vertical="center"/>
    </xf>
    <xf numFmtId="164" fontId="35" fillId="13" borderId="22" xfId="0" applyNumberFormat="1" applyFont="1" applyFill="1" applyBorder="1" applyAlignment="1">
      <alignment horizontal="center" vertical="center"/>
    </xf>
    <xf numFmtId="164" fontId="44" fillId="13" borderId="25" xfId="0" applyNumberFormat="1" applyFont="1" applyFill="1" applyBorder="1" applyAlignment="1">
      <alignment horizontal="center" vertical="center"/>
    </xf>
    <xf numFmtId="164" fontId="44" fillId="13" borderId="22" xfId="0" applyNumberFormat="1" applyFont="1" applyFill="1" applyBorder="1" applyAlignment="1">
      <alignment horizontal="center" vertical="center"/>
    </xf>
    <xf numFmtId="164" fontId="40" fillId="4" borderId="127" xfId="0" applyNumberFormat="1" applyFont="1" applyFill="1" applyBorder="1" applyAlignment="1">
      <alignment horizontal="center" vertical="center"/>
    </xf>
    <xf numFmtId="164" fontId="57" fillId="13" borderId="25" xfId="0" applyNumberFormat="1" applyFont="1" applyFill="1" applyBorder="1" applyAlignment="1">
      <alignment horizontal="center" vertical="center"/>
    </xf>
    <xf numFmtId="164" fontId="57" fillId="13" borderId="22" xfId="0" applyNumberFormat="1" applyFont="1" applyFill="1" applyBorder="1" applyAlignment="1">
      <alignment horizontal="center" vertical="center"/>
    </xf>
    <xf numFmtId="164" fontId="25" fillId="13" borderId="22" xfId="0" applyNumberFormat="1" applyFont="1" applyFill="1" applyBorder="1" applyAlignment="1">
      <alignment horizontal="center" vertical="center"/>
    </xf>
    <xf numFmtId="164" fontId="25" fillId="13" borderId="25" xfId="0" applyNumberFormat="1" applyFont="1" applyFill="1" applyBorder="1" applyAlignment="1">
      <alignment horizontal="center" vertical="center"/>
    </xf>
    <xf numFmtId="164" fontId="25" fillId="13" borderId="30" xfId="0" applyNumberFormat="1" applyFont="1" applyFill="1" applyBorder="1" applyAlignment="1">
      <alignment horizontal="center" vertical="center"/>
    </xf>
    <xf numFmtId="164" fontId="35" fillId="0" borderId="72" xfId="0" applyNumberFormat="1" applyFont="1" applyBorder="1" applyAlignment="1">
      <alignment horizontal="center" vertical="center"/>
    </xf>
    <xf numFmtId="164" fontId="35" fillId="2" borderId="22" xfId="0" applyNumberFormat="1" applyFont="1" applyFill="1" applyBorder="1" applyAlignment="1">
      <alignment horizontal="center" vertical="center"/>
    </xf>
    <xf numFmtId="164" fontId="35" fillId="2" borderId="25" xfId="0" applyNumberFormat="1" applyFont="1" applyFill="1" applyBorder="1" applyAlignment="1">
      <alignment horizontal="center" vertical="center"/>
    </xf>
    <xf numFmtId="164" fontId="25" fillId="2" borderId="22" xfId="0" applyNumberFormat="1" applyFont="1" applyFill="1" applyBorder="1" applyAlignment="1">
      <alignment horizontal="center" vertical="center"/>
    </xf>
    <xf numFmtId="164" fontId="25" fillId="2" borderId="25" xfId="0" applyNumberFormat="1" applyFont="1" applyFill="1" applyBorder="1" applyAlignment="1">
      <alignment horizontal="center" vertical="center"/>
    </xf>
    <xf numFmtId="164" fontId="25" fillId="0" borderId="25" xfId="0" applyNumberFormat="1" applyFont="1" applyBorder="1" applyAlignment="1">
      <alignment horizontal="center" vertical="center"/>
    </xf>
    <xf numFmtId="164" fontId="57" fillId="4" borderId="127" xfId="0" applyNumberFormat="1" applyFont="1" applyFill="1" applyBorder="1" applyAlignment="1">
      <alignment horizontal="center" vertical="center"/>
    </xf>
    <xf numFmtId="164" fontId="22" fillId="0" borderId="22" xfId="0" applyNumberFormat="1" applyFont="1" applyBorder="1" applyAlignment="1">
      <alignment horizontal="center" vertical="center"/>
    </xf>
    <xf numFmtId="164" fontId="35" fillId="4" borderId="128" xfId="0" applyNumberFormat="1" applyFont="1" applyFill="1" applyBorder="1" applyAlignment="1">
      <alignment horizontal="center" vertical="center"/>
    </xf>
    <xf numFmtId="164" fontId="22" fillId="2" borderId="22" xfId="0" applyNumberFormat="1" applyFont="1" applyFill="1" applyBorder="1" applyAlignment="1">
      <alignment horizontal="center" vertical="center"/>
    </xf>
    <xf numFmtId="164" fontId="60" fillId="0" borderId="91" xfId="0" applyNumberFormat="1" applyFont="1" applyBorder="1" applyAlignment="1">
      <alignment horizontal="center" vertical="center"/>
    </xf>
    <xf numFmtId="164" fontId="35" fillId="0" borderId="91" xfId="0" applyNumberFormat="1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4" borderId="61" xfId="0" applyNumberFormat="1" applyFont="1" applyFill="1" applyBorder="1" applyAlignment="1">
      <alignment horizontal="center" vertical="center"/>
    </xf>
    <xf numFmtId="164" fontId="1" fillId="4" borderId="123" xfId="0" applyNumberFormat="1" applyFont="1" applyFill="1" applyBorder="1" applyAlignment="1">
      <alignment horizontal="center" vertical="center"/>
    </xf>
    <xf numFmtId="164" fontId="1" fillId="4" borderId="111" xfId="0" applyNumberFormat="1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64" fontId="1" fillId="4" borderId="63" xfId="0" applyNumberFormat="1" applyFont="1" applyFill="1" applyBorder="1" applyAlignment="1">
      <alignment horizontal="center" vertical="center"/>
    </xf>
    <xf numFmtId="164" fontId="45" fillId="4" borderId="1" xfId="0" applyNumberFormat="1" applyFont="1" applyFill="1" applyBorder="1" applyAlignment="1">
      <alignment horizontal="center" vertical="center"/>
    </xf>
    <xf numFmtId="164" fontId="45" fillId="4" borderId="61" xfId="0" applyNumberFormat="1" applyFont="1" applyFill="1" applyBorder="1" applyAlignment="1">
      <alignment horizontal="center" vertical="center"/>
    </xf>
    <xf numFmtId="164" fontId="45" fillId="4" borderId="123" xfId="0" applyNumberFormat="1" applyFont="1" applyFill="1" applyBorder="1" applyAlignment="1">
      <alignment horizontal="center" vertical="center"/>
    </xf>
    <xf numFmtId="164" fontId="46" fillId="4" borderId="63" xfId="0" applyNumberFormat="1" applyFont="1" applyFill="1" applyBorder="1" applyAlignment="1">
      <alignment horizontal="center" vertical="center"/>
    </xf>
    <xf numFmtId="164" fontId="15" fillId="4" borderId="18" xfId="0" applyNumberFormat="1" applyFont="1" applyFill="1" applyBorder="1" applyAlignment="1">
      <alignment horizontal="center" vertical="center"/>
    </xf>
    <xf numFmtId="164" fontId="1" fillId="4" borderId="116" xfId="0" applyNumberFormat="1" applyFont="1" applyFill="1" applyBorder="1" applyAlignment="1">
      <alignment horizontal="center" vertical="center"/>
    </xf>
    <xf numFmtId="164" fontId="18" fillId="4" borderId="63" xfId="0" applyNumberFormat="1" applyFont="1" applyFill="1" applyBorder="1" applyAlignment="1">
      <alignment horizontal="center" vertical="center"/>
    </xf>
    <xf numFmtId="164" fontId="18" fillId="4" borderId="1" xfId="0" applyNumberFormat="1" applyFont="1" applyFill="1" applyBorder="1" applyAlignment="1">
      <alignment horizontal="center" vertical="center"/>
    </xf>
    <xf numFmtId="164" fontId="18" fillId="4" borderId="61" xfId="0" applyNumberFormat="1" applyFont="1" applyFill="1" applyBorder="1" applyAlignment="1">
      <alignment horizontal="center" vertical="center"/>
    </xf>
    <xf numFmtId="164" fontId="7" fillId="4" borderId="3" xfId="0" applyNumberFormat="1" applyFont="1" applyFill="1" applyBorder="1" applyAlignment="1">
      <alignment horizontal="center" vertical="center"/>
    </xf>
    <xf numFmtId="164" fontId="45" fillId="4" borderId="117" xfId="0" applyNumberFormat="1" applyFont="1" applyFill="1" applyBorder="1" applyAlignment="1">
      <alignment horizontal="center" vertical="center"/>
    </xf>
    <xf numFmtId="164" fontId="45" fillId="4" borderId="5" xfId="0" applyNumberFormat="1" applyFont="1" applyFill="1" applyBorder="1" applyAlignment="1">
      <alignment horizontal="center" vertical="center"/>
    </xf>
    <xf numFmtId="164" fontId="45" fillId="4" borderId="93" xfId="0" applyNumberFormat="1" applyFont="1" applyFill="1" applyBorder="1" applyAlignment="1">
      <alignment horizontal="center" vertical="center"/>
    </xf>
    <xf numFmtId="164" fontId="45" fillId="4" borderId="124" xfId="0" applyNumberFormat="1" applyFont="1" applyFill="1" applyBorder="1" applyAlignment="1">
      <alignment horizontal="center" vertical="center"/>
    </xf>
    <xf numFmtId="164" fontId="46" fillId="4" borderId="101" xfId="0" applyNumberFormat="1" applyFont="1" applyFill="1" applyBorder="1" applyAlignment="1">
      <alignment horizontal="center" vertical="center"/>
    </xf>
    <xf numFmtId="164" fontId="45" fillId="4" borderId="6" xfId="0" applyNumberFormat="1" applyFont="1" applyFill="1" applyBorder="1" applyAlignment="1">
      <alignment horizontal="center" vertical="center"/>
    </xf>
    <xf numFmtId="164" fontId="15" fillId="4" borderId="5" xfId="0" applyNumberFormat="1" applyFont="1" applyFill="1" applyBorder="1" applyAlignment="1">
      <alignment horizontal="center" vertical="center"/>
    </xf>
    <xf numFmtId="164" fontId="15" fillId="4" borderId="6" xfId="0" applyNumberFormat="1" applyFont="1" applyFill="1" applyBorder="1" applyAlignment="1">
      <alignment horizontal="center"/>
    </xf>
    <xf numFmtId="164" fontId="61" fillId="0" borderId="0" xfId="0" applyNumberFormat="1" applyFont="1" applyAlignment="1">
      <alignment horizontal="center" vertical="center"/>
    </xf>
    <xf numFmtId="164" fontId="1" fillId="4" borderId="0" xfId="0" applyNumberFormat="1" applyFont="1" applyFill="1"/>
    <xf numFmtId="164" fontId="1" fillId="3" borderId="134" xfId="0" applyNumberFormat="1" applyFont="1" applyFill="1" applyBorder="1" applyAlignment="1">
      <alignment horizontal="center" vertical="center"/>
    </xf>
    <xf numFmtId="164" fontId="60" fillId="0" borderId="131" xfId="0" applyNumberFormat="1" applyFont="1" applyBorder="1" applyAlignment="1">
      <alignment horizontal="center" vertical="center"/>
    </xf>
    <xf numFmtId="164" fontId="35" fillId="0" borderId="129" xfId="0" applyNumberFormat="1" applyFont="1" applyBorder="1" applyAlignment="1">
      <alignment horizontal="center" vertical="center"/>
    </xf>
    <xf numFmtId="164" fontId="59" fillId="0" borderId="132" xfId="0" applyNumberFormat="1" applyFont="1" applyBorder="1" applyAlignment="1">
      <alignment horizontal="center" vertical="center"/>
    </xf>
    <xf numFmtId="164" fontId="44" fillId="0" borderId="129" xfId="0" applyNumberFormat="1" applyFont="1" applyBorder="1" applyAlignment="1">
      <alignment horizontal="center" vertical="center"/>
    </xf>
    <xf numFmtId="164" fontId="60" fillId="13" borderId="132" xfId="0" applyNumberFormat="1" applyFont="1" applyFill="1" applyBorder="1" applyAlignment="1">
      <alignment horizontal="center" vertical="center"/>
    </xf>
    <xf numFmtId="164" fontId="35" fillId="13" borderId="129" xfId="0" applyNumberFormat="1" applyFont="1" applyFill="1" applyBorder="1" applyAlignment="1">
      <alignment horizontal="center" vertical="center"/>
    </xf>
    <xf numFmtId="164" fontId="44" fillId="13" borderId="129" xfId="0" applyNumberFormat="1" applyFont="1" applyFill="1" applyBorder="1" applyAlignment="1">
      <alignment horizontal="center" vertical="center"/>
    </xf>
    <xf numFmtId="164" fontId="57" fillId="13" borderId="129" xfId="0" applyNumberFormat="1" applyFont="1" applyFill="1" applyBorder="1" applyAlignment="1">
      <alignment horizontal="center" vertical="center"/>
    </xf>
    <xf numFmtId="164" fontId="25" fillId="13" borderId="129" xfId="0" applyNumberFormat="1" applyFont="1" applyFill="1" applyBorder="1" applyAlignment="1">
      <alignment horizontal="center" vertical="center"/>
    </xf>
    <xf numFmtId="164" fontId="60" fillId="0" borderId="132" xfId="0" applyNumberFormat="1" applyFont="1" applyBorder="1" applyAlignment="1">
      <alignment horizontal="center" vertical="center"/>
    </xf>
    <xf numFmtId="164" fontId="35" fillId="2" borderId="129" xfId="0" applyNumberFormat="1" applyFont="1" applyFill="1" applyBorder="1" applyAlignment="1">
      <alignment horizontal="center" vertical="center"/>
    </xf>
    <xf numFmtId="164" fontId="25" fillId="0" borderId="129" xfId="0" applyNumberFormat="1" applyFont="1" applyBorder="1" applyAlignment="1">
      <alignment horizontal="center" vertical="center"/>
    </xf>
    <xf numFmtId="164" fontId="60" fillId="0" borderId="133" xfId="0" applyNumberFormat="1" applyFont="1" applyBorder="1" applyAlignment="1">
      <alignment horizontal="center" vertical="center"/>
    </xf>
    <xf numFmtId="164" fontId="35" fillId="0" borderId="130" xfId="0" applyNumberFormat="1" applyFont="1" applyBorder="1" applyAlignment="1">
      <alignment horizontal="center" vertical="center"/>
    </xf>
    <xf numFmtId="164" fontId="25" fillId="13" borderId="72" xfId="0" applyNumberFormat="1" applyFont="1" applyFill="1" applyBorder="1" applyAlignment="1">
      <alignment horizontal="center" vertical="center"/>
    </xf>
    <xf numFmtId="164" fontId="35" fillId="13" borderId="72" xfId="0" applyNumberFormat="1" applyFont="1" applyFill="1" applyBorder="1" applyAlignment="1">
      <alignment horizontal="center" vertical="center"/>
    </xf>
    <xf numFmtId="164" fontId="45" fillId="4" borderId="125" xfId="0" applyNumberFormat="1" applyFont="1" applyFill="1" applyBorder="1" applyAlignment="1">
      <alignment horizontal="center" vertical="center"/>
    </xf>
    <xf numFmtId="164" fontId="45" fillId="4" borderId="63" xfId="0" applyNumberFormat="1" applyFont="1" applyFill="1" applyBorder="1" applyAlignment="1">
      <alignment horizontal="center" vertical="center"/>
    </xf>
    <xf numFmtId="164" fontId="1" fillId="4" borderId="125" xfId="0" applyNumberFormat="1" applyFont="1" applyFill="1" applyBorder="1" applyAlignment="1">
      <alignment horizontal="center" vertical="center"/>
    </xf>
    <xf numFmtId="164" fontId="1" fillId="4" borderId="126" xfId="0" applyNumberFormat="1" applyFont="1" applyFill="1" applyBorder="1" applyAlignment="1">
      <alignment horizontal="center" vertical="center"/>
    </xf>
    <xf numFmtId="164" fontId="55" fillId="4" borderId="63" xfId="0" applyNumberFormat="1" applyFont="1" applyFill="1" applyBorder="1" applyAlignment="1">
      <alignment horizontal="center" vertical="center"/>
    </xf>
    <xf numFmtId="164" fontId="63" fillId="4" borderId="3" xfId="0" applyNumberFormat="1" applyFont="1" applyFill="1" applyBorder="1" applyAlignment="1">
      <alignment horizontal="center" vertical="center"/>
    </xf>
    <xf numFmtId="164" fontId="59" fillId="0" borderId="22" xfId="0" applyNumberFormat="1" applyFont="1" applyBorder="1" applyAlignment="1">
      <alignment horizontal="center" vertical="center"/>
    </xf>
    <xf numFmtId="164" fontId="62" fillId="4" borderId="33" xfId="0" applyNumberFormat="1" applyFont="1" applyFill="1" applyBorder="1" applyAlignment="1">
      <alignment horizontal="center" vertical="center"/>
    </xf>
    <xf numFmtId="164" fontId="35" fillId="4" borderId="25" xfId="0" applyNumberFormat="1" applyFont="1" applyFill="1" applyBorder="1" applyAlignment="1">
      <alignment horizontal="center" vertical="center"/>
    </xf>
    <xf numFmtId="164" fontId="20" fillId="4" borderId="25" xfId="0" applyNumberFormat="1" applyFont="1" applyFill="1" applyBorder="1" applyAlignment="1">
      <alignment horizontal="center" vertical="center"/>
    </xf>
    <xf numFmtId="164" fontId="3" fillId="4" borderId="61" xfId="0" applyNumberFormat="1" applyFont="1" applyFill="1" applyBorder="1" applyAlignment="1">
      <alignment horizontal="center" vertical="center"/>
    </xf>
    <xf numFmtId="164" fontId="15" fillId="4" borderId="105" xfId="0" applyNumberFormat="1" applyFont="1" applyFill="1" applyBorder="1" applyAlignment="1">
      <alignment horizontal="center" vertical="center"/>
    </xf>
    <xf numFmtId="164" fontId="7" fillId="4" borderId="6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/>
    <xf numFmtId="165" fontId="55" fillId="2" borderId="1" xfId="0" applyNumberFormat="1" applyFont="1" applyFill="1" applyBorder="1"/>
    <xf numFmtId="164" fontId="15" fillId="4" borderId="105" xfId="0" applyNumberFormat="1" applyFont="1" applyFill="1" applyBorder="1" applyAlignment="1">
      <alignment horizontal="center"/>
    </xf>
    <xf numFmtId="0" fontId="1" fillId="2" borderId="13" xfId="0" applyFont="1" applyFill="1" applyBorder="1"/>
    <xf numFmtId="3" fontId="1" fillId="2" borderId="0" xfId="0" applyNumberFormat="1" applyFont="1" applyFill="1"/>
    <xf numFmtId="3" fontId="1" fillId="2" borderId="1" xfId="0" applyNumberFormat="1" applyFont="1" applyFill="1" applyBorder="1"/>
    <xf numFmtId="3" fontId="66" fillId="2" borderId="1" xfId="0" applyNumberFormat="1" applyFont="1" applyFill="1" applyBorder="1"/>
    <xf numFmtId="0" fontId="55" fillId="2" borderId="61" xfId="0" applyFont="1" applyFill="1" applyBorder="1"/>
    <xf numFmtId="0" fontId="55" fillId="2" borderId="63" xfId="0" applyFont="1" applyFill="1" applyBorder="1"/>
    <xf numFmtId="165" fontId="57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5" borderId="107" xfId="0" applyFont="1" applyFill="1" applyBorder="1" applyAlignment="1">
      <alignment horizontal="left" vertical="center"/>
    </xf>
    <xf numFmtId="0" fontId="68" fillId="0" borderId="0" xfId="0" applyFont="1"/>
    <xf numFmtId="0" fontId="68" fillId="0" borderId="0" xfId="0" applyFont="1" applyAlignment="1">
      <alignment horizontal="center" vertical="center"/>
    </xf>
    <xf numFmtId="0" fontId="70" fillId="0" borderId="144" xfId="0" applyFont="1" applyBorder="1" applyAlignment="1">
      <alignment horizontal="center" vertical="center"/>
    </xf>
    <xf numFmtId="0" fontId="70" fillId="0" borderId="145" xfId="0" applyFont="1" applyBorder="1" applyAlignment="1">
      <alignment horizontal="center" vertical="center"/>
    </xf>
    <xf numFmtId="0" fontId="70" fillId="0" borderId="146" xfId="0" applyFont="1" applyBorder="1" applyAlignment="1">
      <alignment horizontal="center" vertical="center"/>
    </xf>
    <xf numFmtId="0" fontId="70" fillId="0" borderId="147" xfId="0" applyFont="1" applyBorder="1" applyAlignment="1">
      <alignment horizontal="center" vertical="center"/>
    </xf>
    <xf numFmtId="0" fontId="70" fillId="0" borderId="148" xfId="0" applyFont="1" applyBorder="1" applyAlignment="1">
      <alignment horizontal="center" vertical="center"/>
    </xf>
    <xf numFmtId="0" fontId="70" fillId="14" borderId="14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8" fillId="2" borderId="152" xfId="0" applyFont="1" applyFill="1" applyBorder="1" applyAlignment="1">
      <alignment horizontal="center" vertical="center"/>
    </xf>
    <xf numFmtId="0" fontId="72" fillId="11" borderId="153" xfId="0" applyFont="1" applyFill="1" applyBorder="1" applyAlignment="1">
      <alignment horizontal="center" vertical="center"/>
    </xf>
    <xf numFmtId="1" fontId="72" fillId="11" borderId="154" xfId="0" applyNumberFormat="1" applyFont="1" applyFill="1" applyBorder="1" applyAlignment="1">
      <alignment horizontal="center" vertical="center"/>
    </xf>
    <xf numFmtId="1" fontId="72" fillId="11" borderId="155" xfId="0" applyNumberFormat="1" applyFont="1" applyFill="1" applyBorder="1" applyAlignment="1">
      <alignment horizontal="center" vertical="center"/>
    </xf>
    <xf numFmtId="0" fontId="72" fillId="11" borderId="156" xfId="0" applyFont="1" applyFill="1" applyBorder="1" applyAlignment="1">
      <alignment horizontal="center" vertical="center"/>
    </xf>
    <xf numFmtId="0" fontId="72" fillId="11" borderId="157" xfId="0" applyFont="1" applyFill="1" applyBorder="1" applyAlignment="1">
      <alignment horizontal="center" vertical="center"/>
    </xf>
    <xf numFmtId="1" fontId="72" fillId="11" borderId="153" xfId="0" applyNumberFormat="1" applyFont="1" applyFill="1" applyBorder="1" applyAlignment="1">
      <alignment horizontal="center" vertical="center"/>
    </xf>
    <xf numFmtId="1" fontId="72" fillId="11" borderId="158" xfId="0" applyNumberFormat="1" applyFont="1" applyFill="1" applyBorder="1" applyAlignment="1">
      <alignment horizontal="center" vertical="center"/>
    </xf>
    <xf numFmtId="1" fontId="72" fillId="11" borderId="159" xfId="0" applyNumberFormat="1" applyFont="1" applyFill="1" applyBorder="1" applyAlignment="1">
      <alignment horizontal="center" vertical="center"/>
    </xf>
    <xf numFmtId="1" fontId="72" fillId="12" borderId="158" xfId="0" applyNumberFormat="1" applyFont="1" applyFill="1" applyBorder="1" applyAlignment="1">
      <alignment horizontal="center" vertical="center"/>
    </xf>
    <xf numFmtId="1" fontId="72" fillId="12" borderId="154" xfId="0" applyNumberFormat="1" applyFont="1" applyFill="1" applyBorder="1" applyAlignment="1">
      <alignment horizontal="center" vertical="center"/>
    </xf>
    <xf numFmtId="1" fontId="72" fillId="12" borderId="155" xfId="0" applyNumberFormat="1" applyFont="1" applyFill="1" applyBorder="1" applyAlignment="1">
      <alignment horizontal="center" vertical="center"/>
    </xf>
    <xf numFmtId="1" fontId="72" fillId="12" borderId="156" xfId="0" applyNumberFormat="1" applyFont="1" applyFill="1" applyBorder="1" applyAlignment="1">
      <alignment horizontal="center" vertical="center"/>
    </xf>
    <xf numFmtId="1" fontId="72" fillId="12" borderId="157" xfId="0" applyNumberFormat="1" applyFont="1" applyFill="1" applyBorder="1" applyAlignment="1">
      <alignment horizontal="center" vertical="center"/>
    </xf>
    <xf numFmtId="1" fontId="72" fillId="12" borderId="152" xfId="0" applyNumberFormat="1" applyFont="1" applyFill="1" applyBorder="1" applyAlignment="1">
      <alignment horizontal="center" vertical="center"/>
    </xf>
    <xf numFmtId="1" fontId="70" fillId="9" borderId="160" xfId="0" applyNumberFormat="1" applyFont="1" applyFill="1" applyBorder="1" applyAlignment="1">
      <alignment horizontal="center" vertical="center"/>
    </xf>
    <xf numFmtId="1" fontId="70" fillId="12" borderId="160" xfId="0" applyNumberFormat="1" applyFont="1" applyFill="1" applyBorder="1" applyAlignment="1">
      <alignment horizontal="center" vertical="center"/>
    </xf>
    <xf numFmtId="0" fontId="68" fillId="2" borderId="162" xfId="0" applyFont="1" applyFill="1" applyBorder="1" applyAlignment="1">
      <alignment horizontal="center" vertical="center"/>
    </xf>
    <xf numFmtId="1" fontId="72" fillId="15" borderId="167" xfId="0" applyNumberFormat="1" applyFont="1" applyFill="1" applyBorder="1" applyAlignment="1">
      <alignment horizontal="center" vertical="center"/>
    </xf>
    <xf numFmtId="0" fontId="72" fillId="15" borderId="167" xfId="0" applyFont="1" applyFill="1" applyBorder="1" applyAlignment="1">
      <alignment horizontal="center" vertical="center"/>
    </xf>
    <xf numFmtId="0" fontId="72" fillId="15" borderId="168" xfId="0" applyFont="1" applyFill="1" applyBorder="1" applyAlignment="1">
      <alignment horizontal="center" vertical="center"/>
    </xf>
    <xf numFmtId="0" fontId="72" fillId="15" borderId="169" xfId="0" applyFont="1" applyFill="1" applyBorder="1" applyAlignment="1">
      <alignment horizontal="center" vertical="center"/>
    </xf>
    <xf numFmtId="0" fontId="72" fillId="15" borderId="170" xfId="0" applyFont="1" applyFill="1" applyBorder="1" applyAlignment="1">
      <alignment horizontal="center" vertical="center"/>
    </xf>
    <xf numFmtId="0" fontId="72" fillId="15" borderId="171" xfId="0" applyFont="1" applyFill="1" applyBorder="1" applyAlignment="1">
      <alignment horizontal="center" vertical="center"/>
    </xf>
    <xf numFmtId="1" fontId="70" fillId="2" borderId="172" xfId="0" applyNumberFormat="1" applyFont="1" applyFill="1" applyBorder="1" applyAlignment="1">
      <alignment horizontal="center" vertical="center"/>
    </xf>
    <xf numFmtId="1" fontId="70" fillId="15" borderId="173" xfId="0" applyNumberFormat="1" applyFont="1" applyFill="1" applyBorder="1" applyAlignment="1">
      <alignment horizontal="center" vertical="center"/>
    </xf>
    <xf numFmtId="0" fontId="68" fillId="2" borderId="104" xfId="0" applyFont="1" applyFill="1" applyBorder="1" applyAlignment="1">
      <alignment horizontal="center" vertical="center"/>
    </xf>
    <xf numFmtId="0" fontId="72" fillId="11" borderId="174" xfId="0" applyFont="1" applyFill="1" applyBorder="1" applyAlignment="1">
      <alignment horizontal="center" vertical="center"/>
    </xf>
    <xf numFmtId="1" fontId="72" fillId="11" borderId="87" xfId="0" applyNumberFormat="1" applyFont="1" applyFill="1" applyBorder="1" applyAlignment="1">
      <alignment horizontal="center" vertical="center"/>
    </xf>
    <xf numFmtId="1" fontId="72" fillId="11" borderId="175" xfId="0" applyNumberFormat="1" applyFont="1" applyFill="1" applyBorder="1" applyAlignment="1">
      <alignment horizontal="center" vertical="center"/>
    </xf>
    <xf numFmtId="0" fontId="72" fillId="11" borderId="87" xfId="0" applyFont="1" applyFill="1" applyBorder="1" applyAlignment="1">
      <alignment horizontal="center" vertical="center"/>
    </xf>
    <xf numFmtId="1" fontId="72" fillId="11" borderId="176" xfId="0" applyNumberFormat="1" applyFont="1" applyFill="1" applyBorder="1" applyAlignment="1">
      <alignment horizontal="center" vertical="center"/>
    </xf>
    <xf numFmtId="1" fontId="72" fillId="11" borderId="174" xfId="0" applyNumberFormat="1" applyFont="1" applyFill="1" applyBorder="1" applyAlignment="1">
      <alignment horizontal="center" vertical="center"/>
    </xf>
    <xf numFmtId="1" fontId="72" fillId="11" borderId="177" xfId="0" applyNumberFormat="1" applyFont="1" applyFill="1" applyBorder="1" applyAlignment="1">
      <alignment horizontal="center" vertical="center"/>
    </xf>
    <xf numFmtId="1" fontId="72" fillId="12" borderId="178" xfId="0" applyNumberFormat="1" applyFont="1" applyFill="1" applyBorder="1" applyAlignment="1">
      <alignment horizontal="center" vertical="center"/>
    </xf>
    <xf numFmtId="1" fontId="72" fillId="12" borderId="87" xfId="0" applyNumberFormat="1" applyFont="1" applyFill="1" applyBorder="1" applyAlignment="1">
      <alignment horizontal="center" vertical="center"/>
    </xf>
    <xf numFmtId="1" fontId="72" fillId="12" borderId="176" xfId="0" applyNumberFormat="1" applyFont="1" applyFill="1" applyBorder="1" applyAlignment="1">
      <alignment horizontal="center" vertical="center"/>
    </xf>
    <xf numFmtId="1" fontId="72" fillId="12" borderId="174" xfId="0" applyNumberFormat="1" applyFont="1" applyFill="1" applyBorder="1" applyAlignment="1">
      <alignment horizontal="center" vertical="center"/>
    </xf>
    <xf numFmtId="1" fontId="72" fillId="12" borderId="175" xfId="0" applyNumberFormat="1" applyFont="1" applyFill="1" applyBorder="1" applyAlignment="1">
      <alignment horizontal="center" vertical="center"/>
    </xf>
    <xf numFmtId="1" fontId="70" fillId="9" borderId="179" xfId="0" applyNumberFormat="1" applyFont="1" applyFill="1" applyBorder="1" applyAlignment="1">
      <alignment horizontal="center" vertical="center"/>
    </xf>
    <xf numFmtId="1" fontId="70" fillId="12" borderId="173" xfId="0" applyNumberFormat="1" applyFont="1" applyFill="1" applyBorder="1" applyAlignment="1">
      <alignment horizontal="center" vertical="center"/>
    </xf>
    <xf numFmtId="1" fontId="72" fillId="15" borderId="162" xfId="0" applyNumberFormat="1" applyFont="1" applyFill="1" applyBorder="1" applyAlignment="1">
      <alignment horizontal="center" vertical="center"/>
    </xf>
    <xf numFmtId="0" fontId="72" fillId="15" borderId="180" xfId="0" applyFont="1" applyFill="1" applyBorder="1" applyAlignment="1">
      <alignment horizontal="center" vertical="center"/>
    </xf>
    <xf numFmtId="0" fontId="72" fillId="15" borderId="89" xfId="0" applyFont="1" applyFill="1" applyBorder="1" applyAlignment="1">
      <alignment horizontal="center" vertical="center"/>
    </xf>
    <xf numFmtId="0" fontId="72" fillId="15" borderId="181" xfId="0" applyFont="1" applyFill="1" applyBorder="1" applyAlignment="1">
      <alignment horizontal="center" vertical="center"/>
    </xf>
    <xf numFmtId="0" fontId="72" fillId="15" borderId="182" xfId="0" applyFont="1" applyFill="1" applyBorder="1" applyAlignment="1">
      <alignment horizontal="center" vertical="center"/>
    </xf>
    <xf numFmtId="0" fontId="72" fillId="15" borderId="183" xfId="0" applyFont="1" applyFill="1" applyBorder="1" applyAlignment="1">
      <alignment horizontal="center" vertical="center"/>
    </xf>
    <xf numFmtId="1" fontId="70" fillId="2" borderId="184" xfId="0" applyNumberFormat="1" applyFont="1" applyFill="1" applyBorder="1" applyAlignment="1">
      <alignment horizontal="center" vertical="center"/>
    </xf>
    <xf numFmtId="1" fontId="72" fillId="11" borderId="178" xfId="0" applyNumberFormat="1" applyFont="1" applyFill="1" applyBorder="1" applyAlignment="1">
      <alignment horizontal="center" vertical="center"/>
    </xf>
    <xf numFmtId="1" fontId="72" fillId="12" borderId="104" xfId="0" applyNumberFormat="1" applyFont="1" applyFill="1" applyBorder="1" applyAlignment="1">
      <alignment horizontal="center" vertical="center"/>
    </xf>
    <xf numFmtId="1" fontId="72" fillId="12" borderId="107" xfId="0" applyNumberFormat="1" applyFont="1" applyFill="1" applyBorder="1" applyAlignment="1">
      <alignment horizontal="center" vertical="center"/>
    </xf>
    <xf numFmtId="1" fontId="70" fillId="9" borderId="184" xfId="0" applyNumberFormat="1" applyFont="1" applyFill="1" applyBorder="1" applyAlignment="1">
      <alignment horizontal="center" vertical="center"/>
    </xf>
    <xf numFmtId="1" fontId="72" fillId="11" borderId="89" xfId="0" applyNumberFormat="1" applyFont="1" applyFill="1" applyBorder="1" applyAlignment="1">
      <alignment horizontal="center" vertical="center"/>
    </xf>
    <xf numFmtId="1" fontId="72" fillId="11" borderId="168" xfId="0" applyNumberFormat="1" applyFont="1" applyFill="1" applyBorder="1" applyAlignment="1">
      <alignment horizontal="center" vertical="center"/>
    </xf>
    <xf numFmtId="1" fontId="72" fillId="11" borderId="180" xfId="0" applyNumberFormat="1" applyFont="1" applyFill="1" applyBorder="1" applyAlignment="1">
      <alignment horizontal="center" vertical="center"/>
    </xf>
    <xf numFmtId="0" fontId="72" fillId="11" borderId="167" xfId="0" applyFont="1" applyFill="1" applyBorder="1" applyAlignment="1">
      <alignment horizontal="center" vertical="center"/>
    </xf>
    <xf numFmtId="0" fontId="72" fillId="11" borderId="168" xfId="0" applyFont="1" applyFill="1" applyBorder="1" applyAlignment="1">
      <alignment horizontal="center" vertical="center"/>
    </xf>
    <xf numFmtId="0" fontId="72" fillId="11" borderId="191" xfId="0" applyFont="1" applyFill="1" applyBorder="1" applyAlignment="1">
      <alignment horizontal="center" vertical="center"/>
    </xf>
    <xf numFmtId="0" fontId="72" fillId="15" borderId="162" xfId="0" applyFont="1" applyFill="1" applyBorder="1" applyAlignment="1">
      <alignment horizontal="center" vertical="center"/>
    </xf>
    <xf numFmtId="0" fontId="70" fillId="15" borderId="173" xfId="0" applyFont="1" applyFill="1" applyBorder="1" applyAlignment="1">
      <alignment horizontal="center" vertical="center"/>
    </xf>
    <xf numFmtId="0" fontId="68" fillId="2" borderId="193" xfId="0" applyFont="1" applyFill="1" applyBorder="1" applyAlignment="1">
      <alignment horizontal="center" vertical="center"/>
    </xf>
    <xf numFmtId="1" fontId="72" fillId="11" borderId="201" xfId="0" applyNumberFormat="1" applyFont="1" applyFill="1" applyBorder="1" applyAlignment="1">
      <alignment horizontal="center" vertical="center"/>
    </xf>
    <xf numFmtId="0" fontId="72" fillId="11" borderId="201" xfId="0" applyFont="1" applyFill="1" applyBorder="1" applyAlignment="1">
      <alignment horizontal="center" vertical="center"/>
    </xf>
    <xf numFmtId="0" fontId="72" fillId="11" borderId="202" xfId="0" applyFont="1" applyFill="1" applyBorder="1" applyAlignment="1">
      <alignment horizontal="center" vertical="center"/>
    </xf>
    <xf numFmtId="0" fontId="72" fillId="11" borderId="193" xfId="0" applyFont="1" applyFill="1" applyBorder="1" applyAlignment="1">
      <alignment horizontal="center" vertical="center"/>
    </xf>
    <xf numFmtId="0" fontId="72" fillId="11" borderId="203" xfId="0" applyFont="1" applyFill="1" applyBorder="1" applyAlignment="1">
      <alignment horizontal="center" vertical="center"/>
    </xf>
    <xf numFmtId="0" fontId="72" fillId="15" borderId="193" xfId="0" applyFont="1" applyFill="1" applyBorder="1" applyAlignment="1">
      <alignment horizontal="center" vertical="center"/>
    </xf>
    <xf numFmtId="0" fontId="72" fillId="15" borderId="201" xfId="0" applyFont="1" applyFill="1" applyBorder="1" applyAlignment="1">
      <alignment horizontal="center" vertical="center"/>
    </xf>
    <xf numFmtId="0" fontId="72" fillId="15" borderId="204" xfId="0" applyFont="1" applyFill="1" applyBorder="1" applyAlignment="1">
      <alignment horizontal="center" vertical="center"/>
    </xf>
    <xf numFmtId="0" fontId="72" fillId="15" borderId="205" xfId="0" applyFont="1" applyFill="1" applyBorder="1" applyAlignment="1">
      <alignment horizontal="center" vertical="center"/>
    </xf>
    <xf numFmtId="0" fontId="72" fillId="15" borderId="197" xfId="0" applyFont="1" applyFill="1" applyBorder="1" applyAlignment="1">
      <alignment horizontal="center" vertical="center"/>
    </xf>
    <xf numFmtId="1" fontId="70" fillId="2" borderId="206" xfId="0" applyNumberFormat="1" applyFont="1" applyFill="1" applyBorder="1" applyAlignment="1">
      <alignment horizontal="center" vertical="center"/>
    </xf>
    <xf numFmtId="0" fontId="70" fillId="15" borderId="172" xfId="0" applyFont="1" applyFill="1" applyBorder="1" applyAlignment="1">
      <alignment horizontal="center" vertical="center"/>
    </xf>
    <xf numFmtId="0" fontId="68" fillId="2" borderId="158" xfId="0" applyFont="1" applyFill="1" applyBorder="1" applyAlignment="1">
      <alignment horizontal="center" vertical="center"/>
    </xf>
    <xf numFmtId="0" fontId="72" fillId="11" borderId="154" xfId="0" applyFont="1" applyFill="1" applyBorder="1" applyAlignment="1">
      <alignment horizontal="center" vertical="center"/>
    </xf>
    <xf numFmtId="0" fontId="72" fillId="11" borderId="211" xfId="0" applyFont="1" applyFill="1" applyBorder="1" applyAlignment="1">
      <alignment horizontal="center" vertical="center"/>
    </xf>
    <xf numFmtId="0" fontId="72" fillId="12" borderId="158" xfId="0" applyFont="1" applyFill="1" applyBorder="1" applyAlignment="1">
      <alignment horizontal="center" vertical="center"/>
    </xf>
    <xf numFmtId="0" fontId="72" fillId="12" borderId="154" xfId="0" applyFont="1" applyFill="1" applyBorder="1" applyAlignment="1">
      <alignment horizontal="center" vertical="center"/>
    </xf>
    <xf numFmtId="0" fontId="72" fillId="12" borderId="212" xfId="0" applyFont="1" applyFill="1" applyBorder="1" applyAlignment="1">
      <alignment horizontal="center" vertical="center"/>
    </xf>
    <xf numFmtId="0" fontId="72" fillId="12" borderId="153" xfId="0" applyFont="1" applyFill="1" applyBorder="1" applyAlignment="1">
      <alignment horizontal="center" vertical="center"/>
    </xf>
    <xf numFmtId="0" fontId="72" fillId="12" borderId="155" xfId="0" applyFont="1" applyFill="1" applyBorder="1" applyAlignment="1">
      <alignment horizontal="center" vertical="center"/>
    </xf>
    <xf numFmtId="1" fontId="70" fillId="9" borderId="213" xfId="0" applyNumberFormat="1" applyFont="1" applyFill="1" applyBorder="1" applyAlignment="1">
      <alignment horizontal="center" vertical="center"/>
    </xf>
    <xf numFmtId="0" fontId="70" fillId="12" borderId="214" xfId="0" applyFont="1" applyFill="1" applyBorder="1" applyAlignment="1">
      <alignment horizontal="center" vertical="center"/>
    </xf>
    <xf numFmtId="1" fontId="72" fillId="11" borderId="169" xfId="0" applyNumberFormat="1" applyFont="1" applyFill="1" applyBorder="1" applyAlignment="1">
      <alignment horizontal="center" vertical="center"/>
    </xf>
    <xf numFmtId="0" fontId="72" fillId="11" borderId="170" xfId="0" applyFont="1" applyFill="1" applyBorder="1" applyAlignment="1">
      <alignment horizontal="center" vertical="center"/>
    </xf>
    <xf numFmtId="1" fontId="70" fillId="2" borderId="173" xfId="0" applyNumberFormat="1" applyFont="1" applyFill="1" applyBorder="1" applyAlignment="1">
      <alignment horizontal="center" vertical="center"/>
    </xf>
    <xf numFmtId="0" fontId="72" fillId="11" borderId="177" xfId="0" applyFont="1" applyFill="1" applyBorder="1" applyAlignment="1">
      <alignment horizontal="center" vertical="center"/>
    </xf>
    <xf numFmtId="0" fontId="72" fillId="12" borderId="178" xfId="0" applyFont="1" applyFill="1" applyBorder="1" applyAlignment="1">
      <alignment horizontal="center" vertical="center"/>
    </xf>
    <xf numFmtId="0" fontId="72" fillId="12" borderId="104" xfId="0" applyFont="1" applyFill="1" applyBorder="1" applyAlignment="1">
      <alignment horizontal="center" vertical="center"/>
    </xf>
    <xf numFmtId="0" fontId="72" fillId="12" borderId="13" xfId="0" applyFont="1" applyFill="1" applyBorder="1" applyAlignment="1">
      <alignment horizontal="center" vertical="center"/>
    </xf>
    <xf numFmtId="0" fontId="72" fillId="12" borderId="18" xfId="0" applyFont="1" applyFill="1" applyBorder="1" applyAlignment="1">
      <alignment horizontal="center" vertical="center"/>
    </xf>
    <xf numFmtId="0" fontId="72" fillId="12" borderId="215" xfId="0" applyFont="1" applyFill="1" applyBorder="1" applyAlignment="1">
      <alignment horizontal="center" vertical="center"/>
    </xf>
    <xf numFmtId="0" fontId="72" fillId="12" borderId="105" xfId="0" applyFont="1" applyFill="1" applyBorder="1" applyAlignment="1">
      <alignment horizontal="center" vertical="center"/>
    </xf>
    <xf numFmtId="1" fontId="70" fillId="9" borderId="173" xfId="0" applyNumberFormat="1" applyFont="1" applyFill="1" applyBorder="1" applyAlignment="1">
      <alignment horizontal="center" vertical="center"/>
    </xf>
    <xf numFmtId="0" fontId="70" fillId="12" borderId="173" xfId="0" applyFont="1" applyFill="1" applyBorder="1" applyAlignment="1">
      <alignment horizontal="center" vertical="center"/>
    </xf>
    <xf numFmtId="0" fontId="68" fillId="2" borderId="167" xfId="0" applyFont="1" applyFill="1" applyBorder="1" applyAlignment="1">
      <alignment horizontal="center" vertical="center"/>
    </xf>
    <xf numFmtId="0" fontId="72" fillId="11" borderId="169" xfId="0" applyFont="1" applyFill="1" applyBorder="1" applyAlignment="1">
      <alignment horizontal="center" vertical="center"/>
    </xf>
    <xf numFmtId="0" fontId="0" fillId="0" borderId="217" xfId="0" applyBorder="1"/>
    <xf numFmtId="1" fontId="72" fillId="0" borderId="217" xfId="0" applyNumberFormat="1" applyFont="1" applyBorder="1" applyAlignment="1">
      <alignment horizontal="center" vertical="center"/>
    </xf>
    <xf numFmtId="1" fontId="70" fillId="0" borderId="217" xfId="0" applyNumberFormat="1" applyFont="1" applyBorder="1" applyAlignment="1">
      <alignment horizontal="center" vertical="center"/>
    </xf>
    <xf numFmtId="0" fontId="0" fillId="0" borderId="218" xfId="0" applyBorder="1"/>
    <xf numFmtId="0" fontId="69" fillId="0" borderId="0" xfId="0" applyFont="1"/>
    <xf numFmtId="1" fontId="68" fillId="0" borderId="1" xfId="0" applyNumberFormat="1" applyFont="1" applyBorder="1"/>
    <xf numFmtId="0" fontId="68" fillId="0" borderId="1" xfId="0" applyFont="1" applyBorder="1"/>
    <xf numFmtId="1" fontId="0" fillId="0" borderId="0" xfId="0" applyNumberFormat="1"/>
    <xf numFmtId="0" fontId="74" fillId="0" borderId="0" xfId="0" applyFont="1"/>
    <xf numFmtId="1" fontId="74" fillId="0" borderId="0" xfId="0" applyNumberFormat="1" applyFont="1"/>
    <xf numFmtId="0" fontId="1" fillId="4" borderId="13" xfId="0" applyFont="1" applyFill="1" applyBorder="1"/>
    <xf numFmtId="164" fontId="45" fillId="4" borderId="14" xfId="0" applyNumberFormat="1" applyFont="1" applyFill="1" applyBorder="1" applyAlignment="1">
      <alignment horizontal="center" vertical="center"/>
    </xf>
    <xf numFmtId="164" fontId="45" fillId="4" borderId="13" xfId="0" applyNumberFormat="1" applyFont="1" applyFill="1" applyBorder="1" applyAlignment="1">
      <alignment horizontal="center" vertical="center"/>
    </xf>
    <xf numFmtId="164" fontId="45" fillId="4" borderId="105" xfId="0" applyNumberFormat="1" applyFont="1" applyFill="1" applyBorder="1" applyAlignment="1">
      <alignment horizontal="center" vertical="center"/>
    </xf>
    <xf numFmtId="164" fontId="45" fillId="4" borderId="221" xfId="0" applyNumberFormat="1" applyFont="1" applyFill="1" applyBorder="1" applyAlignment="1">
      <alignment horizontal="center" vertical="center"/>
    </xf>
    <xf numFmtId="164" fontId="45" fillId="4" borderId="222" xfId="0" applyNumberFormat="1" applyFont="1" applyFill="1" applyBorder="1" applyAlignment="1">
      <alignment horizontal="center" vertical="center"/>
    </xf>
    <xf numFmtId="164" fontId="45" fillId="4" borderId="104" xfId="0" applyNumberFormat="1" applyFont="1" applyFill="1" applyBorder="1" applyAlignment="1">
      <alignment horizontal="center" vertical="center"/>
    </xf>
    <xf numFmtId="164" fontId="45" fillId="4" borderId="18" xfId="0" applyNumberFormat="1" applyFont="1" applyFill="1" applyBorder="1" applyAlignment="1">
      <alignment horizontal="center" vertical="center"/>
    </xf>
    <xf numFmtId="164" fontId="15" fillId="4" borderId="13" xfId="0" applyNumberFormat="1" applyFont="1" applyFill="1" applyBorder="1" applyAlignment="1">
      <alignment horizontal="center" vertical="center"/>
    </xf>
    <xf numFmtId="164" fontId="7" fillId="4" borderId="13" xfId="0" applyNumberFormat="1" applyFont="1" applyFill="1" applyBorder="1" applyAlignment="1">
      <alignment horizontal="center" vertical="center"/>
    </xf>
    <xf numFmtId="0" fontId="13" fillId="4" borderId="107" xfId="0" applyFont="1" applyFill="1" applyBorder="1" applyAlignment="1">
      <alignment horizontal="center" vertical="center"/>
    </xf>
    <xf numFmtId="0" fontId="1" fillId="4" borderId="107" xfId="0" applyFont="1" applyFill="1" applyBorder="1"/>
    <xf numFmtId="164" fontId="45" fillId="4" borderId="107" xfId="0" applyNumberFormat="1" applyFont="1" applyFill="1" applyBorder="1" applyAlignment="1">
      <alignment horizontal="center" vertical="center"/>
    </xf>
    <xf numFmtId="164" fontId="15" fillId="4" borderId="107" xfId="0" applyNumberFormat="1" applyFont="1" applyFill="1" applyBorder="1" applyAlignment="1">
      <alignment horizontal="center" vertical="center"/>
    </xf>
    <xf numFmtId="164" fontId="3" fillId="4" borderId="13" xfId="0" applyNumberFormat="1" applyFont="1" applyFill="1" applyBorder="1" applyAlignment="1">
      <alignment horizontal="center" vertical="center"/>
    </xf>
    <xf numFmtId="0" fontId="1" fillId="4" borderId="1" xfId="0" applyFont="1" applyFill="1" applyBorder="1"/>
    <xf numFmtId="164" fontId="1" fillId="2" borderId="1" xfId="0" applyNumberFormat="1" applyFont="1" applyFill="1" applyBorder="1"/>
    <xf numFmtId="164" fontId="61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/>
    <xf numFmtId="9" fontId="1" fillId="2" borderId="1" xfId="0" applyNumberFormat="1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164" fontId="22" fillId="0" borderId="25" xfId="0" applyNumberFormat="1" applyFont="1" applyBorder="1" applyAlignment="1">
      <alignment horizontal="center" vertical="center"/>
    </xf>
    <xf numFmtId="164" fontId="75" fillId="0" borderId="22" xfId="0" applyNumberFormat="1" applyFont="1" applyBorder="1" applyAlignment="1">
      <alignment horizontal="center" vertical="center"/>
    </xf>
    <xf numFmtId="164" fontId="22" fillId="4" borderId="127" xfId="0" applyNumberFormat="1" applyFont="1" applyFill="1" applyBorder="1" applyAlignment="1">
      <alignment horizontal="center" vertical="center"/>
    </xf>
    <xf numFmtId="164" fontId="66" fillId="0" borderId="22" xfId="0" applyNumberFormat="1" applyFont="1" applyBorder="1" applyAlignment="1">
      <alignment horizontal="center" vertical="center"/>
    </xf>
    <xf numFmtId="164" fontId="66" fillId="4" borderId="127" xfId="0" applyNumberFormat="1" applyFont="1" applyFill="1" applyBorder="1" applyAlignment="1">
      <alignment horizontal="center" vertical="center"/>
    </xf>
    <xf numFmtId="0" fontId="76" fillId="2" borderId="0" xfId="0" applyFont="1" applyFill="1" applyAlignment="1">
      <alignment vertical="center"/>
    </xf>
    <xf numFmtId="0" fontId="76" fillId="2" borderId="55" xfId="0" applyFont="1" applyFill="1" applyBorder="1" applyAlignment="1">
      <alignment horizontal="center" vertical="center"/>
    </xf>
    <xf numFmtId="0" fontId="76" fillId="2" borderId="29" xfId="0" applyFont="1" applyFill="1" applyBorder="1" applyAlignment="1">
      <alignment horizontal="center" vertical="center"/>
    </xf>
    <xf numFmtId="0" fontId="79" fillId="7" borderId="59" xfId="0" applyFont="1" applyFill="1" applyBorder="1" applyAlignment="1">
      <alignment vertical="center"/>
    </xf>
    <xf numFmtId="0" fontId="79" fillId="7" borderId="65" xfId="0" applyFont="1" applyFill="1" applyBorder="1" applyAlignment="1">
      <alignment vertical="center"/>
    </xf>
    <xf numFmtId="0" fontId="79" fillId="2" borderId="66" xfId="0" applyFont="1" applyFill="1" applyBorder="1" applyAlignment="1">
      <alignment vertical="center"/>
    </xf>
    <xf numFmtId="0" fontId="76" fillId="4" borderId="55" xfId="0" applyFont="1" applyFill="1" applyBorder="1" applyAlignment="1">
      <alignment horizontal="center" vertical="center"/>
    </xf>
    <xf numFmtId="164" fontId="80" fillId="0" borderId="22" xfId="0" applyNumberFormat="1" applyFont="1" applyBorder="1" applyAlignment="1">
      <alignment horizontal="center" vertical="center"/>
    </xf>
    <xf numFmtId="164" fontId="80" fillId="0" borderId="25" xfId="0" applyNumberFormat="1" applyFont="1" applyBorder="1" applyAlignment="1">
      <alignment horizontal="center" vertical="center"/>
    </xf>
    <xf numFmtId="164" fontId="81" fillId="0" borderId="22" xfId="0" applyNumberFormat="1" applyFont="1" applyBorder="1" applyAlignment="1">
      <alignment horizontal="center" vertical="center"/>
    </xf>
    <xf numFmtId="164" fontId="80" fillId="4" borderId="127" xfId="0" applyNumberFormat="1" applyFont="1" applyFill="1" applyBorder="1" applyAlignment="1">
      <alignment horizontal="center" vertical="center"/>
    </xf>
    <xf numFmtId="164" fontId="80" fillId="4" borderId="25" xfId="0" applyNumberFormat="1" applyFont="1" applyFill="1" applyBorder="1" applyAlignment="1">
      <alignment horizontal="center" vertical="center"/>
    </xf>
    <xf numFmtId="0" fontId="82" fillId="2" borderId="1" xfId="0" applyFont="1" applyFill="1" applyBorder="1"/>
    <xf numFmtId="0" fontId="76" fillId="2" borderId="1" xfId="0" applyFont="1" applyFill="1" applyBorder="1"/>
    <xf numFmtId="0" fontId="76" fillId="2" borderId="0" xfId="0" applyFont="1" applyFill="1"/>
    <xf numFmtId="0" fontId="76" fillId="2" borderId="22" xfId="0" applyFont="1" applyFill="1" applyBorder="1" applyAlignment="1">
      <alignment horizontal="center" vertical="center"/>
    </xf>
    <xf numFmtId="164" fontId="80" fillId="4" borderId="128" xfId="0" applyNumberFormat="1" applyFont="1" applyFill="1" applyBorder="1" applyAlignment="1">
      <alignment horizontal="center" vertical="center"/>
    </xf>
    <xf numFmtId="164" fontId="80" fillId="0" borderId="72" xfId="0" applyNumberFormat="1" applyFont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right"/>
    </xf>
    <xf numFmtId="4" fontId="55" fillId="2" borderId="1" xfId="0" applyNumberFormat="1" applyFont="1" applyFill="1" applyBorder="1"/>
    <xf numFmtId="164" fontId="15" fillId="4" borderId="13" xfId="0" applyNumberFormat="1" applyFont="1" applyFill="1" applyBorder="1" applyAlignment="1">
      <alignment horizontal="center"/>
    </xf>
    <xf numFmtId="0" fontId="18" fillId="2" borderId="107" xfId="0" applyFont="1" applyFill="1" applyBorder="1"/>
    <xf numFmtId="0" fontId="1" fillId="2" borderId="107" xfId="0" applyFont="1" applyFill="1" applyBorder="1"/>
    <xf numFmtId="0" fontId="55" fillId="2" borderId="1" xfId="0" applyFont="1" applyFill="1" applyBorder="1"/>
    <xf numFmtId="0" fontId="1" fillId="5" borderId="105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86" fillId="2" borderId="29" xfId="0" applyFont="1" applyFill="1" applyBorder="1" applyAlignment="1">
      <alignment horizontal="center" vertical="center"/>
    </xf>
    <xf numFmtId="164" fontId="57" fillId="0" borderId="22" xfId="0" applyNumberFormat="1" applyFont="1" applyBorder="1" applyAlignment="1">
      <alignment horizontal="center" vertical="center"/>
    </xf>
    <xf numFmtId="164" fontId="57" fillId="0" borderId="25" xfId="0" applyNumberFormat="1" applyFont="1" applyBorder="1" applyAlignment="1">
      <alignment horizontal="center" vertical="center"/>
    </xf>
    <xf numFmtId="164" fontId="57" fillId="4" borderId="25" xfId="0" applyNumberFormat="1" applyFont="1" applyFill="1" applyBorder="1" applyAlignment="1">
      <alignment horizontal="center" vertical="center"/>
    </xf>
    <xf numFmtId="0" fontId="87" fillId="2" borderId="22" xfId="0" applyFont="1" applyFill="1" applyBorder="1" applyAlignment="1">
      <alignment horizontal="center" vertical="center"/>
    </xf>
    <xf numFmtId="164" fontId="40" fillId="4" borderId="25" xfId="0" applyNumberFormat="1" applyFont="1" applyFill="1" applyBorder="1" applyAlignment="1">
      <alignment horizontal="center" vertical="center"/>
    </xf>
    <xf numFmtId="164" fontId="25" fillId="7" borderId="22" xfId="0" applyNumberFormat="1" applyFont="1" applyFill="1" applyBorder="1" applyAlignment="1">
      <alignment horizontal="center" vertical="center"/>
    </xf>
    <xf numFmtId="164" fontId="35" fillId="7" borderId="22" xfId="0" applyNumberFormat="1" applyFont="1" applyFill="1" applyBorder="1" applyAlignment="1">
      <alignment horizontal="center" vertical="center"/>
    </xf>
    <xf numFmtId="164" fontId="25" fillId="7" borderId="72" xfId="0" applyNumberFormat="1" applyFont="1" applyFill="1" applyBorder="1" applyAlignment="1">
      <alignment horizontal="center" vertical="center"/>
    </xf>
    <xf numFmtId="164" fontId="35" fillId="7" borderId="72" xfId="0" applyNumberFormat="1" applyFont="1" applyFill="1" applyBorder="1" applyAlignment="1">
      <alignment horizontal="center" vertical="center"/>
    </xf>
    <xf numFmtId="164" fontId="22" fillId="7" borderId="72" xfId="0" applyNumberFormat="1" applyFont="1" applyFill="1" applyBorder="1" applyAlignment="1">
      <alignment horizontal="center" vertical="center"/>
    </xf>
    <xf numFmtId="164" fontId="22" fillId="7" borderId="22" xfId="0" applyNumberFormat="1" applyFont="1" applyFill="1" applyBorder="1" applyAlignment="1">
      <alignment horizontal="center" vertical="center"/>
    </xf>
    <xf numFmtId="164" fontId="47" fillId="0" borderId="22" xfId="0" applyNumberFormat="1" applyFont="1" applyBorder="1" applyAlignment="1">
      <alignment horizontal="center" vertical="center"/>
    </xf>
    <xf numFmtId="0" fontId="1" fillId="2" borderId="69" xfId="0" applyFont="1" applyFill="1" applyBorder="1"/>
    <xf numFmtId="164" fontId="1" fillId="0" borderId="93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2" borderId="9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0" fillId="2" borderId="59" xfId="0" applyFont="1" applyFill="1" applyBorder="1" applyAlignment="1">
      <alignment vertical="center"/>
    </xf>
    <xf numFmtId="0" fontId="19" fillId="2" borderId="59" xfId="0" applyFont="1" applyFill="1" applyBorder="1" applyAlignment="1">
      <alignment vertical="center"/>
    </xf>
    <xf numFmtId="0" fontId="7" fillId="2" borderId="59" xfId="0" applyFont="1" applyFill="1" applyBorder="1" applyAlignment="1">
      <alignment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2" borderId="2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left"/>
    </xf>
    <xf numFmtId="0" fontId="7" fillId="2" borderId="35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51" xfId="0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7" fillId="5" borderId="1" xfId="0" quotePrefix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0" fillId="0" borderId="76" xfId="0" applyBorder="1" applyAlignment="1">
      <alignment horizontal="center"/>
    </xf>
    <xf numFmtId="0" fontId="18" fillId="2" borderId="27" xfId="0" applyFont="1" applyFill="1" applyBorder="1" applyAlignment="1">
      <alignment horizontal="center" vertical="center"/>
    </xf>
    <xf numFmtId="0" fontId="22" fillId="2" borderId="78" xfId="0" applyFont="1" applyFill="1" applyBorder="1" applyAlignment="1">
      <alignment horizontal="center" vertical="center"/>
    </xf>
    <xf numFmtId="0" fontId="12" fillId="0" borderId="79" xfId="0" applyFont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16" fillId="2" borderId="27" xfId="0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3" fontId="1" fillId="2" borderId="61" xfId="0" applyNumberFormat="1" applyFont="1" applyFill="1" applyBorder="1" applyAlignment="1">
      <alignment horizontal="center"/>
    </xf>
    <xf numFmtId="3" fontId="1" fillId="2" borderId="62" xfId="0" applyNumberFormat="1" applyFont="1" applyFill="1" applyBorder="1" applyAlignment="1">
      <alignment horizontal="center"/>
    </xf>
    <xf numFmtId="3" fontId="1" fillId="2" borderId="63" xfId="0" applyNumberFormat="1" applyFont="1" applyFill="1" applyBorder="1" applyAlignment="1">
      <alignment horizontal="center"/>
    </xf>
    <xf numFmtId="0" fontId="1" fillId="2" borderId="61" xfId="0" applyFont="1" applyFill="1" applyBorder="1" applyAlignment="1">
      <alignment horizontal="left"/>
    </xf>
    <xf numFmtId="0" fontId="1" fillId="2" borderId="62" xfId="0" applyFont="1" applyFill="1" applyBorder="1" applyAlignment="1">
      <alignment horizontal="left"/>
    </xf>
    <xf numFmtId="0" fontId="1" fillId="2" borderId="6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4" fillId="2" borderId="55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5" borderId="59" xfId="0" applyFont="1" applyFill="1" applyBorder="1" applyAlignment="1">
      <alignment horizontal="center" vertical="center"/>
    </xf>
    <xf numFmtId="0" fontId="1" fillId="5" borderId="60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20" fillId="2" borderId="59" xfId="0" applyFont="1" applyFill="1" applyBorder="1" applyAlignment="1">
      <alignment horizontal="center" vertical="center"/>
    </xf>
    <xf numFmtId="0" fontId="19" fillId="2" borderId="65" xfId="0" applyFont="1" applyFill="1" applyBorder="1" applyAlignment="1">
      <alignment horizontal="center" vertical="center"/>
    </xf>
    <xf numFmtId="0" fontId="19" fillId="2" borderId="66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67" xfId="0" applyFont="1" applyFill="1" applyBorder="1" applyAlignment="1">
      <alignment horizontal="center" vertical="center"/>
    </xf>
    <xf numFmtId="0" fontId="19" fillId="2" borderId="68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71" xfId="0" applyFont="1" applyFill="1" applyBorder="1" applyAlignment="1">
      <alignment horizontal="center" vertical="center"/>
    </xf>
    <xf numFmtId="0" fontId="19" fillId="2" borderId="72" xfId="0" applyFont="1" applyFill="1" applyBorder="1" applyAlignment="1">
      <alignment horizontal="center" vertical="center"/>
    </xf>
    <xf numFmtId="0" fontId="1" fillId="2" borderId="69" xfId="0" applyFont="1" applyFill="1" applyBorder="1"/>
    <xf numFmtId="0" fontId="1" fillId="2" borderId="56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 wrapText="1"/>
    </xf>
    <xf numFmtId="0" fontId="3" fillId="2" borderId="66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86" xfId="0" applyFont="1" applyFill="1" applyBorder="1" applyAlignment="1">
      <alignment horizontal="center" vertical="center" wrapText="1"/>
    </xf>
    <xf numFmtId="0" fontId="22" fillId="2" borderId="55" xfId="0" applyFont="1" applyFill="1" applyBorder="1" applyAlignment="1">
      <alignment horizontal="center" vertical="center" wrapText="1"/>
    </xf>
    <xf numFmtId="0" fontId="22" fillId="2" borderId="94" xfId="0" applyFont="1" applyFill="1" applyBorder="1" applyAlignment="1">
      <alignment horizontal="center" vertical="center"/>
    </xf>
    <xf numFmtId="0" fontId="27" fillId="2" borderId="22" xfId="0" applyFont="1" applyFill="1" applyBorder="1" applyAlignment="1">
      <alignment horizontal="center" vertical="center"/>
    </xf>
    <xf numFmtId="0" fontId="27" fillId="2" borderId="55" xfId="0" applyFont="1" applyFill="1" applyBorder="1" applyAlignment="1">
      <alignment horizontal="center" vertical="center" wrapText="1"/>
    </xf>
    <xf numFmtId="0" fontId="27" fillId="2" borderId="29" xfId="0" applyFont="1" applyFill="1" applyBorder="1" applyAlignment="1">
      <alignment horizontal="center" vertical="center"/>
    </xf>
    <xf numFmtId="0" fontId="31" fillId="2" borderId="54" xfId="0" applyFont="1" applyFill="1" applyBorder="1" applyAlignment="1">
      <alignment horizontal="center" vertical="center"/>
    </xf>
    <xf numFmtId="0" fontId="31" fillId="2" borderId="102" xfId="0" applyFont="1" applyFill="1" applyBorder="1" applyAlignment="1">
      <alignment horizontal="center" vertical="center"/>
    </xf>
    <xf numFmtId="0" fontId="32" fillId="2" borderId="55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/>
    </xf>
    <xf numFmtId="0" fontId="33" fillId="2" borderId="22" xfId="0" applyFont="1" applyFill="1" applyBorder="1" applyAlignment="1">
      <alignment horizontal="center" vertical="center"/>
    </xf>
    <xf numFmtId="0" fontId="33" fillId="2" borderId="91" xfId="0" applyFont="1" applyFill="1" applyBorder="1" applyAlignment="1">
      <alignment horizontal="center" vertical="center"/>
    </xf>
    <xf numFmtId="0" fontId="26" fillId="2" borderId="57" xfId="0" applyFont="1" applyFill="1" applyBorder="1" applyAlignment="1">
      <alignment horizontal="center" vertical="center" wrapText="1"/>
    </xf>
    <xf numFmtId="0" fontId="27" fillId="2" borderId="29" xfId="0" applyFont="1" applyFill="1" applyBorder="1" applyAlignment="1">
      <alignment horizontal="center" vertical="center" wrapText="1"/>
    </xf>
    <xf numFmtId="0" fontId="1" fillId="2" borderId="69" xfId="0" applyFont="1" applyFill="1" applyBorder="1" applyAlignment="1">
      <alignment horizontal="center"/>
    </xf>
    <xf numFmtId="0" fontId="1" fillId="2" borderId="64" xfId="0" applyFont="1" applyFill="1" applyBorder="1" applyAlignment="1">
      <alignment horizontal="center" vertical="center"/>
    </xf>
    <xf numFmtId="0" fontId="29" fillId="2" borderId="55" xfId="0" applyFont="1" applyFill="1" applyBorder="1" applyAlignment="1">
      <alignment horizontal="center" vertical="center" wrapText="1"/>
    </xf>
    <xf numFmtId="0" fontId="30" fillId="2" borderId="27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0" fontId="28" fillId="2" borderId="55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1" fillId="5" borderId="106" xfId="0" applyFont="1" applyFill="1" applyBorder="1" applyAlignment="1">
      <alignment horizontal="left" vertical="center"/>
    </xf>
    <xf numFmtId="0" fontId="1" fillId="5" borderId="107" xfId="0" applyFont="1" applyFill="1" applyBorder="1" applyAlignment="1">
      <alignment horizontal="left" vertical="center"/>
    </xf>
    <xf numFmtId="0" fontId="1" fillId="5" borderId="104" xfId="0" applyFont="1" applyFill="1" applyBorder="1" applyAlignment="1">
      <alignment horizontal="left" vertical="center"/>
    </xf>
    <xf numFmtId="0" fontId="1" fillId="5" borderId="112" xfId="0" applyFont="1" applyFill="1" applyBorder="1" applyAlignment="1">
      <alignment horizontal="left" vertical="center"/>
    </xf>
    <xf numFmtId="0" fontId="1" fillId="5" borderId="110" xfId="0" applyFont="1" applyFill="1" applyBorder="1" applyAlignment="1">
      <alignment horizontal="left" vertical="center"/>
    </xf>
    <xf numFmtId="0" fontId="1" fillId="5" borderId="111" xfId="0" applyFont="1" applyFill="1" applyBorder="1" applyAlignment="1">
      <alignment horizontal="left" vertical="center"/>
    </xf>
    <xf numFmtId="0" fontId="1" fillId="5" borderId="108" xfId="0" applyFont="1" applyFill="1" applyBorder="1" applyAlignment="1">
      <alignment horizontal="left" vertical="center"/>
    </xf>
    <xf numFmtId="0" fontId="1" fillId="5" borderId="69" xfId="0" applyFont="1" applyFill="1" applyBorder="1" applyAlignment="1">
      <alignment horizontal="left" vertical="center"/>
    </xf>
    <xf numFmtId="0" fontId="1" fillId="5" borderId="109" xfId="0" applyFont="1" applyFill="1" applyBorder="1" applyAlignment="1">
      <alignment horizontal="left" vertical="center"/>
    </xf>
    <xf numFmtId="0" fontId="1" fillId="2" borderId="94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/>
    </xf>
    <xf numFmtId="0" fontId="18" fillId="2" borderId="55" xfId="0" applyFont="1" applyFill="1" applyBorder="1" applyAlignment="1">
      <alignment horizontal="center" vertical="center" wrapText="1"/>
    </xf>
    <xf numFmtId="0" fontId="18" fillId="2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6" fillId="2" borderId="55" xfId="0" applyFont="1" applyFill="1" applyBorder="1" applyAlignment="1">
      <alignment horizontal="center" vertical="center" wrapText="1"/>
    </xf>
    <xf numFmtId="0" fontId="36" fillId="2" borderId="29" xfId="0" applyFont="1" applyFill="1" applyBorder="1" applyAlignment="1">
      <alignment horizontal="center" vertical="center" wrapText="1"/>
    </xf>
    <xf numFmtId="0" fontId="42" fillId="2" borderId="55" xfId="0" applyFont="1" applyFill="1" applyBorder="1" applyAlignment="1">
      <alignment horizontal="center" vertical="center" wrapText="1"/>
    </xf>
    <xf numFmtId="0" fontId="36" fillId="2" borderId="27" xfId="0" applyFont="1" applyFill="1" applyBorder="1" applyAlignment="1">
      <alignment horizontal="center" vertical="center"/>
    </xf>
    <xf numFmtId="0" fontId="31" fillId="2" borderId="55" xfId="0" applyFont="1" applyFill="1" applyBorder="1" applyAlignment="1">
      <alignment horizontal="center" vertical="center" wrapText="1"/>
    </xf>
    <xf numFmtId="0" fontId="31" fillId="2" borderId="27" xfId="0" applyFont="1" applyFill="1" applyBorder="1" applyAlignment="1">
      <alignment horizontal="center" vertical="center"/>
    </xf>
    <xf numFmtId="0" fontId="33" fillId="2" borderId="55" xfId="0" applyFont="1" applyFill="1" applyBorder="1" applyAlignment="1">
      <alignment horizontal="center" vertical="center"/>
    </xf>
    <xf numFmtId="0" fontId="19" fillId="2" borderId="59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4" fillId="2" borderId="55" xfId="0" applyFont="1" applyFill="1" applyBorder="1" applyAlignment="1">
      <alignment horizontal="center" vertical="center"/>
    </xf>
    <xf numFmtId="0" fontId="51" fillId="2" borderId="29" xfId="0" applyFont="1" applyFill="1" applyBorder="1" applyAlignment="1">
      <alignment horizontal="center" vertical="center"/>
    </xf>
    <xf numFmtId="0" fontId="33" fillId="2" borderId="22" xfId="0" applyFont="1" applyFill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/>
    </xf>
    <xf numFmtId="0" fontId="24" fillId="2" borderId="54" xfId="0" applyFont="1" applyFill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56" fillId="2" borderId="55" xfId="0" applyFont="1" applyFill="1" applyBorder="1" applyAlignment="1">
      <alignment horizontal="center" vertical="center"/>
    </xf>
    <xf numFmtId="0" fontId="50" fillId="2" borderId="55" xfId="0" applyFont="1" applyFill="1" applyBorder="1" applyAlignment="1">
      <alignment horizontal="center" vertical="center" wrapText="1"/>
    </xf>
    <xf numFmtId="0" fontId="50" fillId="2" borderId="27" xfId="0" applyFont="1" applyFill="1" applyBorder="1" applyAlignment="1">
      <alignment horizontal="center" vertical="center"/>
    </xf>
    <xf numFmtId="0" fontId="56" fillId="2" borderId="22" xfId="0" applyFont="1" applyFill="1" applyBorder="1" applyAlignment="1">
      <alignment horizontal="center" vertical="center" wrapText="1"/>
    </xf>
    <xf numFmtId="0" fontId="27" fillId="2" borderId="55" xfId="0" applyFont="1" applyFill="1" applyBorder="1" applyAlignment="1">
      <alignment horizontal="center" vertical="center"/>
    </xf>
    <xf numFmtId="0" fontId="58" fillId="2" borderId="2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8" fillId="2" borderId="55" xfId="0" applyFont="1" applyFill="1" applyBorder="1" applyAlignment="1">
      <alignment horizontal="center" vertical="center" wrapText="1"/>
    </xf>
    <xf numFmtId="0" fontId="27" fillId="2" borderId="57" xfId="0" applyFont="1" applyFill="1" applyBorder="1" applyAlignment="1">
      <alignment horizontal="center" vertical="center"/>
    </xf>
    <xf numFmtId="0" fontId="51" fillId="2" borderId="29" xfId="0" applyFont="1" applyFill="1" applyBorder="1" applyAlignment="1">
      <alignment horizontal="center" vertical="center" wrapText="1"/>
    </xf>
    <xf numFmtId="0" fontId="33" fillId="2" borderId="55" xfId="0" applyFont="1" applyFill="1" applyBorder="1" applyAlignment="1">
      <alignment horizontal="center" vertical="center" wrapText="1"/>
    </xf>
    <xf numFmtId="0" fontId="56" fillId="2" borderId="29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/>
    </xf>
    <xf numFmtId="0" fontId="42" fillId="2" borderId="27" xfId="0" applyFont="1" applyFill="1" applyBorder="1" applyAlignment="1">
      <alignment horizontal="center" vertical="center"/>
    </xf>
    <xf numFmtId="0" fontId="52" fillId="2" borderId="55" xfId="0" applyFont="1" applyFill="1" applyBorder="1" applyAlignment="1">
      <alignment horizontal="center" vertical="center" wrapText="1"/>
    </xf>
    <xf numFmtId="0" fontId="52" fillId="2" borderId="29" xfId="0" applyFont="1" applyFill="1" applyBorder="1" applyAlignment="1">
      <alignment horizontal="center" vertical="center" wrapText="1"/>
    </xf>
    <xf numFmtId="0" fontId="53" fillId="2" borderId="55" xfId="0" applyFont="1" applyFill="1" applyBorder="1" applyAlignment="1">
      <alignment horizontal="center" vertical="center"/>
    </xf>
    <xf numFmtId="0" fontId="54" fillId="0" borderId="29" xfId="0" applyFont="1" applyBorder="1" applyAlignment="1">
      <alignment horizontal="center" vertical="center"/>
    </xf>
    <xf numFmtId="0" fontId="42" fillId="2" borderId="29" xfId="0" applyFont="1" applyFill="1" applyBorder="1" applyAlignment="1">
      <alignment horizontal="center" vertical="center" wrapText="1"/>
    </xf>
    <xf numFmtId="0" fontId="53" fillId="2" borderId="29" xfId="0" applyFont="1" applyFill="1" applyBorder="1" applyAlignment="1">
      <alignment horizontal="center" vertical="center"/>
    </xf>
    <xf numFmtId="0" fontId="50" fillId="2" borderId="22" xfId="0" applyFont="1" applyFill="1" applyBorder="1" applyAlignment="1">
      <alignment horizontal="center" vertical="center"/>
    </xf>
    <xf numFmtId="0" fontId="51" fillId="2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2" borderId="22" xfId="0" applyFont="1" applyFill="1" applyBorder="1" applyAlignment="1">
      <alignment horizontal="center" vertical="center" wrapText="1"/>
    </xf>
    <xf numFmtId="164" fontId="1" fillId="2" borderId="61" xfId="0" applyNumberFormat="1" applyFont="1" applyFill="1" applyBorder="1" applyAlignment="1">
      <alignment horizontal="center"/>
    </xf>
    <xf numFmtId="164" fontId="1" fillId="2" borderId="62" xfId="0" applyNumberFormat="1" applyFont="1" applyFill="1" applyBorder="1" applyAlignment="1">
      <alignment horizontal="center"/>
    </xf>
    <xf numFmtId="164" fontId="1" fillId="2" borderId="63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left"/>
    </xf>
    <xf numFmtId="164" fontId="13" fillId="2" borderId="1" xfId="0" applyNumberFormat="1" applyFont="1" applyFill="1" applyBorder="1" applyAlignment="1">
      <alignment horizontal="center"/>
    </xf>
    <xf numFmtId="0" fontId="1" fillId="5" borderId="118" xfId="0" applyFont="1" applyFill="1" applyBorder="1" applyAlignment="1">
      <alignment horizontal="left" vertical="center"/>
    </xf>
    <xf numFmtId="0" fontId="1" fillId="5" borderId="116" xfId="0" applyFont="1" applyFill="1" applyBorder="1" applyAlignment="1">
      <alignment horizontal="left" vertical="center"/>
    </xf>
    <xf numFmtId="0" fontId="1" fillId="5" borderId="119" xfId="0" applyFont="1" applyFill="1" applyBorder="1" applyAlignment="1">
      <alignment horizontal="left" vertical="center"/>
    </xf>
    <xf numFmtId="0" fontId="1" fillId="5" borderId="120" xfId="0" applyFont="1" applyFill="1" applyBorder="1" applyAlignment="1">
      <alignment horizontal="left" vertical="center"/>
    </xf>
    <xf numFmtId="0" fontId="1" fillId="5" borderId="121" xfId="0" applyFont="1" applyFill="1" applyBorder="1" applyAlignment="1">
      <alignment horizontal="left" vertical="center"/>
    </xf>
    <xf numFmtId="0" fontId="1" fillId="5" borderId="122" xfId="0" applyFont="1" applyFill="1" applyBorder="1" applyAlignment="1">
      <alignment horizontal="left" vertical="center"/>
    </xf>
    <xf numFmtId="0" fontId="24" fillId="2" borderId="22" xfId="0" applyFont="1" applyFill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85" fillId="2" borderId="54" xfId="0" applyFont="1" applyFill="1" applyBorder="1" applyAlignment="1">
      <alignment horizontal="center" vertical="center"/>
    </xf>
    <xf numFmtId="0" fontId="85" fillId="2" borderId="55" xfId="0" applyFont="1" applyFill="1" applyBorder="1" applyAlignment="1">
      <alignment horizontal="center" vertical="center"/>
    </xf>
    <xf numFmtId="0" fontId="64" fillId="2" borderId="29" xfId="0" applyFont="1" applyFill="1" applyBorder="1" applyAlignment="1">
      <alignment horizontal="center" vertical="center" wrapText="1"/>
    </xf>
    <xf numFmtId="0" fontId="65" fillId="2" borderId="29" xfId="0" applyFont="1" applyFill="1" applyBorder="1" applyAlignment="1">
      <alignment horizontal="center" vertical="center" wrapText="1"/>
    </xf>
    <xf numFmtId="0" fontId="64" fillId="2" borderId="29" xfId="0" applyFont="1" applyFill="1" applyBorder="1" applyAlignment="1">
      <alignment horizontal="center" vertical="center"/>
    </xf>
    <xf numFmtId="0" fontId="1" fillId="5" borderId="219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5" borderId="220" xfId="0" applyFont="1" applyFill="1" applyBorder="1" applyAlignment="1">
      <alignment horizontal="left" vertical="center"/>
    </xf>
    <xf numFmtId="0" fontId="76" fillId="2" borderId="54" xfId="0" applyFont="1" applyFill="1" applyBorder="1" applyAlignment="1">
      <alignment horizontal="center" vertical="center"/>
    </xf>
    <xf numFmtId="0" fontId="83" fillId="0" borderId="28" xfId="0" applyFont="1" applyBorder="1" applyAlignment="1">
      <alignment horizontal="center" vertical="center"/>
    </xf>
    <xf numFmtId="0" fontId="77" fillId="2" borderId="55" xfId="0" applyFont="1" applyFill="1" applyBorder="1" applyAlignment="1">
      <alignment horizontal="center" vertical="center" wrapText="1"/>
    </xf>
    <xf numFmtId="0" fontId="77" fillId="2" borderId="27" xfId="0" applyFont="1" applyFill="1" applyBorder="1" applyAlignment="1">
      <alignment horizontal="center" vertical="center"/>
    </xf>
    <xf numFmtId="0" fontId="78" fillId="2" borderId="22" xfId="0" applyFont="1" applyFill="1" applyBorder="1" applyAlignment="1">
      <alignment horizontal="center" vertical="center" wrapText="1"/>
    </xf>
    <xf numFmtId="0" fontId="84" fillId="2" borderId="55" xfId="0" applyFont="1" applyFill="1" applyBorder="1" applyAlignment="1">
      <alignment horizontal="center" vertical="center"/>
    </xf>
    <xf numFmtId="0" fontId="76" fillId="2" borderId="55" xfId="0" applyFont="1" applyFill="1" applyBorder="1" applyAlignment="1">
      <alignment horizontal="center" vertical="center"/>
    </xf>
    <xf numFmtId="0" fontId="83" fillId="0" borderId="29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164" fontId="13" fillId="2" borderId="8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55" fillId="0" borderId="61" xfId="0" applyNumberFormat="1" applyFont="1" applyBorder="1" applyAlignment="1">
      <alignment horizontal="center"/>
    </xf>
    <xf numFmtId="164" fontId="55" fillId="0" borderId="63" xfId="0" applyNumberFormat="1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73" fillId="12" borderId="0" xfId="0" applyFont="1" applyFill="1" applyAlignment="1">
      <alignment horizontal="center"/>
    </xf>
    <xf numFmtId="0" fontId="70" fillId="0" borderId="216" xfId="0" applyFont="1" applyBorder="1" applyAlignment="1">
      <alignment horizontal="center"/>
    </xf>
    <xf numFmtId="0" fontId="70" fillId="0" borderId="217" xfId="0" applyFont="1" applyBorder="1" applyAlignment="1">
      <alignment horizontal="center"/>
    </xf>
    <xf numFmtId="0" fontId="73" fillId="9" borderId="0" xfId="0" applyFont="1" applyFill="1" applyAlignment="1">
      <alignment horizontal="center"/>
    </xf>
    <xf numFmtId="0" fontId="68" fillId="0" borderId="1" xfId="0" applyFont="1" applyBorder="1" applyAlignment="1">
      <alignment horizontal="center"/>
    </xf>
    <xf numFmtId="0" fontId="68" fillId="0" borderId="61" xfId="0" applyFont="1" applyBorder="1" applyAlignment="1">
      <alignment horizontal="center"/>
    </xf>
    <xf numFmtId="0" fontId="68" fillId="0" borderId="62" xfId="0" applyFont="1" applyBorder="1" applyAlignment="1">
      <alignment horizontal="center"/>
    </xf>
    <xf numFmtId="0" fontId="68" fillId="0" borderId="63" xfId="0" applyFont="1" applyBorder="1" applyAlignment="1">
      <alignment horizontal="center"/>
    </xf>
    <xf numFmtId="1" fontId="72" fillId="8" borderId="163" xfId="0" applyNumberFormat="1" applyFont="1" applyFill="1" applyBorder="1" applyAlignment="1">
      <alignment horizontal="center" vertical="center"/>
    </xf>
    <xf numFmtId="1" fontId="72" fillId="8" borderId="164" xfId="0" applyNumberFormat="1" applyFont="1" applyFill="1" applyBorder="1" applyAlignment="1">
      <alignment horizontal="center" vertical="center"/>
    </xf>
    <xf numFmtId="1" fontId="72" fillId="8" borderId="162" xfId="0" applyNumberFormat="1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70" fillId="0" borderId="13" xfId="0" applyFont="1" applyBorder="1" applyAlignment="1">
      <alignment horizontal="center" vertical="center"/>
    </xf>
    <xf numFmtId="0" fontId="72" fillId="11" borderId="197" xfId="0" applyFont="1" applyFill="1" applyBorder="1" applyAlignment="1">
      <alignment horizontal="center" vertical="center"/>
    </xf>
    <xf numFmtId="0" fontId="72" fillId="11" borderId="198" xfId="0" applyFont="1" applyFill="1" applyBorder="1" applyAlignment="1">
      <alignment horizontal="center" vertical="center"/>
    </xf>
    <xf numFmtId="0" fontId="72" fillId="11" borderId="199" xfId="0" applyFont="1" applyFill="1" applyBorder="1" applyAlignment="1">
      <alignment horizontal="center" vertical="center"/>
    </xf>
    <xf numFmtId="1" fontId="72" fillId="8" borderId="200" xfId="0" applyNumberFormat="1" applyFont="1" applyFill="1" applyBorder="1" applyAlignment="1">
      <alignment horizontal="center" vertical="center"/>
    </xf>
    <xf numFmtId="1" fontId="72" fillId="8" borderId="198" xfId="0" applyNumberFormat="1" applyFont="1" applyFill="1" applyBorder="1" applyAlignment="1">
      <alignment horizontal="center" vertical="center"/>
    </xf>
    <xf numFmtId="1" fontId="72" fillId="8" borderId="193" xfId="0" applyNumberFormat="1" applyFont="1" applyFill="1" applyBorder="1" applyAlignment="1">
      <alignment horizontal="center" vertical="center"/>
    </xf>
    <xf numFmtId="0" fontId="71" fillId="0" borderId="207" xfId="0" applyFont="1" applyBorder="1" applyAlignment="1">
      <alignment horizontal="center" vertical="center"/>
    </xf>
    <xf numFmtId="0" fontId="71" fillId="0" borderId="161" xfId="0" applyFont="1" applyBorder="1" applyAlignment="1">
      <alignment horizontal="center" vertical="center"/>
    </xf>
    <xf numFmtId="0" fontId="70" fillId="0" borderId="151" xfId="0" applyFont="1" applyBorder="1" applyAlignment="1">
      <alignment horizontal="center" vertical="center"/>
    </xf>
    <xf numFmtId="0" fontId="72" fillId="16" borderId="208" xfId="0" applyFont="1" applyFill="1" applyBorder="1" applyAlignment="1">
      <alignment horizontal="center" vertical="center"/>
    </xf>
    <xf numFmtId="0" fontId="72" fillId="16" borderId="209" xfId="0" applyFont="1" applyFill="1" applyBorder="1" applyAlignment="1">
      <alignment horizontal="center" vertical="center"/>
    </xf>
    <xf numFmtId="0" fontId="72" fillId="16" borderId="210" xfId="0" applyFont="1" applyFill="1" applyBorder="1" applyAlignment="1">
      <alignment horizontal="center" vertical="center"/>
    </xf>
    <xf numFmtId="0" fontId="72" fillId="16" borderId="188" xfId="0" applyFont="1" applyFill="1" applyBorder="1" applyAlignment="1">
      <alignment horizontal="center" vertical="center"/>
    </xf>
    <xf numFmtId="0" fontId="72" fillId="16" borderId="189" xfId="0" applyFont="1" applyFill="1" applyBorder="1" applyAlignment="1">
      <alignment horizontal="center" vertical="center"/>
    </xf>
    <xf numFmtId="0" fontId="72" fillId="16" borderId="190" xfId="0" applyFont="1" applyFill="1" applyBorder="1" applyAlignment="1">
      <alignment horizontal="center" vertical="center"/>
    </xf>
    <xf numFmtId="1" fontId="72" fillId="8" borderId="183" xfId="0" applyNumberFormat="1" applyFont="1" applyFill="1" applyBorder="1" applyAlignment="1">
      <alignment horizontal="center" vertical="center"/>
    </xf>
    <xf numFmtId="1" fontId="72" fillId="8" borderId="169" xfId="0" applyNumberFormat="1" applyFont="1" applyFill="1" applyBorder="1" applyAlignment="1">
      <alignment horizontal="center" vertical="center"/>
    </xf>
    <xf numFmtId="1" fontId="72" fillId="8" borderId="65" xfId="0" applyNumberFormat="1" applyFont="1" applyFill="1" applyBorder="1" applyAlignment="1">
      <alignment horizontal="center" vertical="center"/>
    </xf>
    <xf numFmtId="1" fontId="72" fillId="8" borderId="167" xfId="0" applyNumberFormat="1" applyFont="1" applyFill="1" applyBorder="1" applyAlignment="1">
      <alignment horizontal="center" vertical="center"/>
    </xf>
    <xf numFmtId="0" fontId="68" fillId="0" borderId="142" xfId="0" applyFont="1" applyBorder="1" applyAlignment="1">
      <alignment horizontal="left" vertical="center" wrapText="1"/>
    </xf>
    <xf numFmtId="0" fontId="68" fillId="0" borderId="143" xfId="0" applyFont="1" applyBorder="1" applyAlignment="1">
      <alignment horizontal="left" vertical="center" wrapText="1"/>
    </xf>
    <xf numFmtId="0" fontId="71" fillId="0" borderId="150" xfId="0" applyFont="1" applyBorder="1" applyAlignment="1">
      <alignment horizontal="center" vertical="center"/>
    </xf>
    <xf numFmtId="0" fontId="71" fillId="0" borderId="192" xfId="0" applyFont="1" applyBorder="1" applyAlignment="1">
      <alignment horizontal="center" vertical="center"/>
    </xf>
    <xf numFmtId="1" fontId="72" fillId="11" borderId="163" xfId="0" applyNumberFormat="1" applyFont="1" applyFill="1" applyBorder="1" applyAlignment="1">
      <alignment horizontal="center" vertical="center"/>
    </xf>
    <xf numFmtId="1" fontId="72" fillId="11" borderId="164" xfId="0" applyNumberFormat="1" applyFont="1" applyFill="1" applyBorder="1" applyAlignment="1">
      <alignment horizontal="center" vertical="center"/>
    </xf>
    <xf numFmtId="1" fontId="72" fillId="11" borderId="165" xfId="0" applyNumberFormat="1" applyFont="1" applyFill="1" applyBorder="1" applyAlignment="1">
      <alignment horizontal="center" vertical="center"/>
    </xf>
    <xf numFmtId="0" fontId="72" fillId="11" borderId="163" xfId="0" applyFont="1" applyFill="1" applyBorder="1" applyAlignment="1">
      <alignment horizontal="center" vertical="center"/>
    </xf>
    <xf numFmtId="0" fontId="72" fillId="11" borderId="164" xfId="0" applyFont="1" applyFill="1" applyBorder="1" applyAlignment="1">
      <alignment horizontal="center" vertical="center"/>
    </xf>
    <xf numFmtId="0" fontId="72" fillId="11" borderId="165" xfId="0" applyFont="1" applyFill="1" applyBorder="1" applyAlignment="1">
      <alignment horizontal="center" vertical="center"/>
    </xf>
    <xf numFmtId="0" fontId="72" fillId="16" borderId="185" xfId="0" applyFont="1" applyFill="1" applyBorder="1" applyAlignment="1">
      <alignment horizontal="center" vertical="center"/>
    </xf>
    <xf numFmtId="0" fontId="72" fillId="16" borderId="186" xfId="0" applyFont="1" applyFill="1" applyBorder="1" applyAlignment="1">
      <alignment horizontal="center" vertical="center"/>
    </xf>
    <xf numFmtId="0" fontId="72" fillId="16" borderId="187" xfId="0" applyFont="1" applyFill="1" applyBorder="1" applyAlignment="1">
      <alignment horizontal="center" vertical="center"/>
    </xf>
    <xf numFmtId="0" fontId="72" fillId="16" borderId="194" xfId="0" applyFont="1" applyFill="1" applyBorder="1" applyAlignment="1">
      <alignment horizontal="center" vertical="center"/>
    </xf>
    <xf numFmtId="0" fontId="72" fillId="16" borderId="195" xfId="0" applyFont="1" applyFill="1" applyBorder="1" applyAlignment="1">
      <alignment horizontal="center" vertical="center"/>
    </xf>
    <xf numFmtId="0" fontId="72" fillId="16" borderId="196" xfId="0" applyFont="1" applyFill="1" applyBorder="1" applyAlignment="1">
      <alignment horizontal="center" vertical="center"/>
    </xf>
    <xf numFmtId="1" fontId="72" fillId="11" borderId="183" xfId="0" applyNumberFormat="1" applyFont="1" applyFill="1" applyBorder="1" applyAlignment="1">
      <alignment horizontal="center" vertical="center"/>
    </xf>
    <xf numFmtId="1" fontId="72" fillId="8" borderId="166" xfId="0" applyNumberFormat="1" applyFont="1" applyFill="1" applyBorder="1" applyAlignment="1">
      <alignment horizontal="center" vertical="center"/>
    </xf>
    <xf numFmtId="0" fontId="67" fillId="0" borderId="135" xfId="0" applyFont="1" applyBorder="1" applyAlignment="1">
      <alignment horizontal="center"/>
    </xf>
    <xf numFmtId="0" fontId="67" fillId="0" borderId="136" xfId="0" applyFont="1" applyBorder="1" applyAlignment="1">
      <alignment horizontal="center"/>
    </xf>
    <xf numFmtId="0" fontId="67" fillId="0" borderId="137" xfId="0" applyFont="1" applyBorder="1" applyAlignment="1">
      <alignment horizontal="center"/>
    </xf>
    <xf numFmtId="0" fontId="69" fillId="0" borderId="2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69" fillId="0" borderId="61" xfId="0" applyFont="1" applyBorder="1" applyAlignment="1">
      <alignment horizontal="center"/>
    </xf>
    <xf numFmtId="0" fontId="69" fillId="0" borderId="62" xfId="0" applyFont="1" applyBorder="1" applyAlignment="1">
      <alignment horizontal="center"/>
    </xf>
    <xf numFmtId="0" fontId="69" fillId="0" borderId="138" xfId="0" applyFont="1" applyBorder="1" applyAlignment="1">
      <alignment horizontal="center"/>
    </xf>
    <xf numFmtId="0" fontId="69" fillId="0" borderId="139" xfId="0" applyFont="1" applyBorder="1" applyAlignment="1">
      <alignment horizontal="center"/>
    </xf>
    <xf numFmtId="0" fontId="69" fillId="0" borderId="140" xfId="0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0" fontId="69" fillId="0" borderId="141" xfId="0" applyFont="1" applyBorder="1" applyAlignment="1">
      <alignment horizontal="center"/>
    </xf>
    <xf numFmtId="0" fontId="69" fillId="0" borderId="63" xfId="0" applyFont="1" applyBorder="1" applyAlignment="1">
      <alignment horizontal="center"/>
    </xf>
    <xf numFmtId="0" fontId="68" fillId="14" borderId="139" xfId="0" applyFont="1" applyFill="1" applyBorder="1" applyAlignment="1">
      <alignment horizontal="center" vertical="top" wrapText="1"/>
    </xf>
    <xf numFmtId="0" fontId="68" fillId="14" borderId="82" xfId="0" applyFont="1" applyFill="1" applyBorder="1" applyAlignment="1">
      <alignment horizontal="center" vertical="top" wrapText="1"/>
    </xf>
    <xf numFmtId="0" fontId="24" fillId="2" borderId="28" xfId="0" applyFont="1" applyFill="1" applyBorder="1" applyAlignment="1">
      <alignment horizontal="center" vertical="center"/>
    </xf>
    <xf numFmtId="0" fontId="24" fillId="2" borderId="55" xfId="0" applyFont="1" applyFill="1" applyBorder="1" applyAlignment="1">
      <alignment horizontal="center" vertical="center" wrapText="1"/>
    </xf>
    <xf numFmtId="0" fontId="24" fillId="2" borderId="27" xfId="0" applyFont="1" applyFill="1" applyBorder="1" applyAlignment="1">
      <alignment horizontal="center" vertical="center"/>
    </xf>
    <xf numFmtId="0" fontId="37" fillId="2" borderId="22" xfId="0" applyFont="1" applyFill="1" applyBorder="1" applyAlignment="1">
      <alignment horizontal="center" vertical="center"/>
    </xf>
    <xf numFmtId="0" fontId="37" fillId="2" borderId="55" xfId="0" applyFont="1" applyFill="1" applyBorder="1" applyAlignment="1">
      <alignment horizontal="center" vertical="center"/>
    </xf>
    <xf numFmtId="0" fontId="31" fillId="2" borderId="94" xfId="0" applyFont="1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71" xfId="0" applyFont="1" applyFill="1" applyBorder="1" applyAlignment="1">
      <alignment horizontal="center" vertical="center"/>
    </xf>
    <xf numFmtId="0" fontId="1" fillId="10" borderId="72" xfId="0" applyFont="1" applyFill="1" applyBorder="1" applyAlignment="1">
      <alignment horizontal="center" vertical="center"/>
    </xf>
    <xf numFmtId="0" fontId="3" fillId="2" borderId="94" xfId="0" applyFont="1" applyFill="1" applyBorder="1" applyAlignment="1">
      <alignment horizontal="center" vertical="center"/>
    </xf>
    <xf numFmtId="0" fontId="26" fillId="2" borderId="57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71" xfId="0" applyFont="1" applyFill="1" applyBorder="1" applyAlignment="1">
      <alignment horizontal="center" vertical="center"/>
    </xf>
    <xf numFmtId="0" fontId="1" fillId="8" borderId="72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20" fillId="2" borderId="65" xfId="0" applyFont="1" applyFill="1" applyBorder="1" applyAlignment="1">
      <alignment horizontal="center" vertical="center"/>
    </xf>
    <xf numFmtId="0" fontId="20" fillId="2" borderId="66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67" xfId="0" applyFont="1" applyFill="1" applyBorder="1" applyAlignment="1">
      <alignment horizontal="center" vertical="center"/>
    </xf>
    <xf numFmtId="0" fontId="20" fillId="2" borderId="68" xfId="0" applyFont="1" applyFill="1" applyBorder="1" applyAlignment="1">
      <alignment horizontal="center" vertical="center"/>
    </xf>
    <xf numFmtId="0" fontId="14" fillId="2" borderId="59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val">
        <cx:f dir="row"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ja-JP" altLang="en-US" sz="1600" b="1" i="0" u="none" strike="noStrike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 panose="020F0502020204030204"/>
              </a:rPr>
              <a:t>ライセンス代回収計画</a:t>
            </a:r>
            <a:endPara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endParaRPr>
          </a:p>
        </cx:rich>
      </cx:tx>
    </cx:title>
    <cx:plotArea>
      <cx:plotAreaRegion>
        <cx:series layoutId="waterfall" uniqueId="{38F9F4DE-D6B0-4804-A62F-2EF3E15B6507}">
          <cx:spPr>
            <a:solidFill>
              <a:srgbClr val="0000FF"/>
            </a:solidFill>
          </cx:spPr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en-US" sz="14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ja-JP" altLang="en-US" sz="900" b="0" i="0" u="none" strike="noStrike" baseline="0">
                    <a:solidFill>
                      <a:sysClr val="window" lastClr="FFFFFF">
                        <a:lumMod val="95000"/>
                      </a:sysClr>
                    </a:solidFill>
                    <a:latin typeface="Calibri" panose="020F0502020204030204"/>
                  </a:rPr>
                  <a:t>対応時間</a:t>
                </a:r>
                <a:endPara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ja-JP" altLang="en-US" sz="900" b="0" i="0" u="none" strike="noStrike" baseline="0">
                    <a:solidFill>
                      <a:sysClr val="window" lastClr="FFFFFF">
                        <a:lumMod val="95000"/>
                      </a:sysClr>
                    </a:solidFill>
                    <a:latin typeface="Calibri" panose="020F0502020204030204"/>
                  </a:rPr>
                  <a:t>各年ライセンス費</a:t>
                </a:r>
                <a:r>
                  <a:rPr lang="en-US" altLang="ja-JP" sz="900" b="0" i="0" u="none" strike="noStrike" baseline="0">
                    <a:solidFill>
                      <a:sysClr val="window" lastClr="FFFFFF">
                        <a:lumMod val="95000"/>
                      </a:sysClr>
                    </a:solidFill>
                    <a:latin typeface="Calibri" panose="020F0502020204030204"/>
                  </a:rPr>
                  <a:t>(</a:t>
                </a:r>
                <a:r>
                  <a:rPr lang="ja-JP" altLang="en-US" sz="900" b="0" i="0" u="none" strike="noStrike" baseline="0">
                    <a:solidFill>
                      <a:sysClr val="window" lastClr="FFFFFF">
                        <a:lumMod val="95000"/>
                      </a:sysClr>
                    </a:solidFill>
                    <a:latin typeface="Calibri" panose="020F0502020204030204"/>
                  </a:rPr>
                  <a:t>万）</a:t>
                </a:r>
                <a:endPara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16</xdr:row>
      <xdr:rowOff>15240</xdr:rowOff>
    </xdr:from>
    <xdr:to>
      <xdr:col>7</xdr:col>
      <xdr:colOff>1165860</xdr:colOff>
      <xdr:row>20</xdr:row>
      <xdr:rowOff>243840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863840" y="4236720"/>
          <a:ext cx="1089660" cy="1203960"/>
        </a:xfrm>
        <a:prstGeom prst="round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289560</xdr:colOff>
      <xdr:row>16</xdr:row>
      <xdr:rowOff>30480</xdr:rowOff>
    </xdr:from>
    <xdr:to>
      <xdr:col>9</xdr:col>
      <xdr:colOff>594360</xdr:colOff>
      <xdr:row>19</xdr:row>
      <xdr:rowOff>0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319260" y="4251960"/>
          <a:ext cx="1524000" cy="701040"/>
        </a:xfrm>
        <a:prstGeom prst="wedgeRectCallout">
          <a:avLst>
            <a:gd name="adj1" fmla="val -71333"/>
            <a:gd name="adj2" fmla="val 5163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200" b="1">
              <a:latin typeface="Meiryo" panose="020B0604030504040204" pitchFamily="34" charset="-128"/>
              <a:ea typeface="Meiryo" panose="020B0604030504040204" pitchFamily="34" charset="-128"/>
            </a:rPr>
            <a:t>CAD</a:t>
          </a:r>
          <a:r>
            <a:rPr lang="ja-JP" altLang="en-US" sz="1200" b="1">
              <a:latin typeface="Meiryo" panose="020B0604030504040204" pitchFamily="34" charset="-128"/>
              <a:ea typeface="Meiryo" panose="020B0604030504040204" pitchFamily="34" charset="-128"/>
            </a:rPr>
            <a:t>オペレーター業界</a:t>
          </a:r>
          <a:endParaRPr lang="en-US" sz="1200" b="1">
            <a:latin typeface="Meiryo" panose="020B0604030504040204" pitchFamily="34" charset="-128"/>
            <a:ea typeface="Meiryo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78441</xdr:colOff>
      <xdr:row>9</xdr:row>
      <xdr:rowOff>257735</xdr:rowOff>
    </xdr:from>
    <xdr:to>
      <xdr:col>35</xdr:col>
      <xdr:colOff>563927</xdr:colOff>
      <xdr:row>16</xdr:row>
      <xdr:rowOff>2544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B35067-6EA1-910C-86E9-81E3AA7FE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8647" y="3529853"/>
          <a:ext cx="5953956" cy="21720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359708</xdr:colOff>
      <xdr:row>9</xdr:row>
      <xdr:rowOff>243167</xdr:rowOff>
    </xdr:from>
    <xdr:to>
      <xdr:col>36</xdr:col>
      <xdr:colOff>145387</xdr:colOff>
      <xdr:row>18</xdr:row>
      <xdr:rowOff>241228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C90E13-E0A2-4669-A23E-8D4F7F39F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40149" y="3235138"/>
          <a:ext cx="5957879" cy="21720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11185</xdr:colOff>
      <xdr:row>50</xdr:row>
      <xdr:rowOff>121291</xdr:rowOff>
    </xdr:from>
    <xdr:to>
      <xdr:col>30</xdr:col>
      <xdr:colOff>190150</xdr:colOff>
      <xdr:row>50</xdr:row>
      <xdr:rowOff>121291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5860785" y="9646291"/>
          <a:ext cx="2617365" cy="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361950</xdr:colOff>
      <xdr:row>10</xdr:row>
      <xdr:rowOff>100012</xdr:rowOff>
    </xdr:from>
    <xdr:to>
      <xdr:col>22</xdr:col>
      <xdr:colOff>304800</xdr:colOff>
      <xdr:row>30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pSpPr/>
      </xdr:nvGrpSpPr>
      <xdr:grpSpPr>
        <a:xfrm>
          <a:off x="8286750" y="2005012"/>
          <a:ext cx="5429250" cy="3709988"/>
          <a:chOff x="8286750" y="2005012"/>
          <a:chExt cx="5429250" cy="3709988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2" name="Chart 1">
                <a:extLst>
                  <a:ext uri="{FF2B5EF4-FFF2-40B4-BE49-F238E27FC236}">
                    <a16:creationId xmlns:a16="http://schemas.microsoft.com/office/drawing/2014/main" id="{00000000-0008-0000-0700-000002000000}"/>
                  </a:ext>
                </a:extLst>
              </xdr:cNvPr>
              <xdr:cNvGraphicFramePr/>
            </xdr:nvGraphicFramePr>
            <xdr:xfrm>
              <a:off x="8286750" y="2005012"/>
              <a:ext cx="5429250" cy="3709988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286750" y="2005012"/>
                <a:ext cx="5429250" cy="370998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CxnSpPr/>
        </xdr:nvCxnSpPr>
        <xdr:spPr>
          <a:xfrm>
            <a:off x="9031360" y="3759841"/>
            <a:ext cx="4589390" cy="12059"/>
          </a:xfrm>
          <a:prstGeom prst="line">
            <a:avLst/>
          </a:prstGeom>
          <a:ln w="254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CxnSpPr/>
        </xdr:nvCxnSpPr>
        <xdr:spPr>
          <a:xfrm>
            <a:off x="11668125" y="2505075"/>
            <a:ext cx="19050" cy="2876550"/>
          </a:xfrm>
          <a:prstGeom prst="line">
            <a:avLst/>
          </a:prstGeom>
          <a:ln w="1905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Arrow: Right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/>
        </xdr:nvSpPr>
        <xdr:spPr>
          <a:xfrm>
            <a:off x="11096625" y="3143942"/>
            <a:ext cx="512443" cy="323157"/>
          </a:xfrm>
          <a:prstGeom prst="rightArrow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2800"/>
          </a:p>
        </xdr:txBody>
      </xdr:sp>
      <xdr:sp macro="" textlink="">
        <xdr:nvSpPr>
          <xdr:cNvPr id="9" name="TextBox 31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 txBox="1"/>
        </xdr:nvSpPr>
        <xdr:spPr>
          <a:xfrm>
            <a:off x="10315575" y="3114675"/>
            <a:ext cx="923925" cy="38869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1400">
                <a:solidFill>
                  <a:schemeClr val="bg1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4</a:t>
            </a:r>
            <a:r>
              <a:rPr kumimoji="1" lang="ja-JP" altLang="en-US" sz="1400">
                <a:solidFill>
                  <a:schemeClr val="bg1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年償却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rần Đình Lĩnh" id="{A9E627BB-CE93-436B-9866-122ED7A5E7AF}" userId="S::linhtd@esutech.edu.vn::0c0a5d6d-081c-4717-9523-eafa59ccaf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0" dT="2023-11-14T01:52:02.88" personId="{A9E627BB-CE93-436B-9866-122ED7A5E7AF}" id="{F4E766D4-631A-4777-8936-8BCDFABD340D}">
    <text>追加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8" dT="2023-11-14T01:52:02.88" personId="{A9E627BB-CE93-436B-9866-122ED7A5E7AF}" id="{CF6E746E-1CFD-4DCB-8F09-4AB64654370F}">
    <text>追加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8" dT="2023-11-14T01:52:02.88" personId="{A9E627BB-CE93-436B-9866-122ED7A5E7AF}" id="{EA87B01B-8561-4E63-97F0-0846F58C48E4}">
    <text>追加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K8" dT="2023-11-14T01:52:02.88" personId="{A9E627BB-CE93-436B-9866-122ED7A5E7AF}" id="{B95A0995-5CCF-4749-B13E-E0AB0EE7AB05}">
    <text>追加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K12" dT="2023-11-14T01:52:02.88" personId="{A9E627BB-CE93-436B-9866-122ED7A5E7AF}" id="{863FC14E-87A8-46E8-A1D3-E265CAFA3428}">
    <text>追加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AA18"/>
  <sheetViews>
    <sheetView topLeftCell="B1" workbookViewId="0">
      <selection activeCell="Q18" sqref="Q18"/>
    </sheetView>
  </sheetViews>
  <sheetFormatPr defaultColWidth="8.85546875" defaultRowHeight="19.5"/>
  <cols>
    <col min="1" max="3" width="8.85546875" style="1"/>
    <col min="4" max="4" width="30.85546875" style="1" bestFit="1" customWidth="1"/>
    <col min="5" max="11" width="8.85546875" style="1"/>
    <col min="12" max="12" width="7.7109375" style="1" bestFit="1" customWidth="1"/>
    <col min="13" max="15" width="4.85546875" style="1" customWidth="1"/>
    <col min="16" max="16" width="8.42578125" style="1" customWidth="1"/>
    <col min="17" max="19" width="4.85546875" style="1" customWidth="1"/>
    <col min="20" max="20" width="11" style="1" customWidth="1"/>
    <col min="21" max="23" width="4.85546875" style="1" customWidth="1"/>
    <col min="24" max="24" width="8.7109375" style="1" customWidth="1"/>
    <col min="25" max="27" width="4.85546875" style="1" customWidth="1"/>
    <col min="28" max="16384" width="8.85546875" style="1"/>
  </cols>
  <sheetData>
    <row r="2" spans="2:27" ht="38.25">
      <c r="C2" s="551" t="s">
        <v>0</v>
      </c>
      <c r="D2" s="551"/>
      <c r="E2" s="551"/>
      <c r="F2" s="551"/>
      <c r="G2" s="551"/>
      <c r="H2" s="551"/>
      <c r="I2" s="551"/>
      <c r="J2" s="551"/>
      <c r="K2" s="551"/>
    </row>
    <row r="3" spans="2:27">
      <c r="J3" s="1" t="s">
        <v>1</v>
      </c>
      <c r="L3" s="553" t="s">
        <v>2</v>
      </c>
      <c r="M3" s="538"/>
      <c r="N3" s="538"/>
      <c r="O3" s="538"/>
      <c r="P3" s="550" t="s">
        <v>3</v>
      </c>
      <c r="Q3" s="538"/>
      <c r="R3" s="538"/>
      <c r="S3" s="552"/>
      <c r="T3" s="550" t="s">
        <v>4</v>
      </c>
      <c r="U3" s="538"/>
      <c r="V3" s="538"/>
      <c r="W3" s="538"/>
      <c r="X3" s="537" t="s">
        <v>5</v>
      </c>
      <c r="Y3" s="538"/>
      <c r="Z3" s="538"/>
      <c r="AA3" s="539"/>
    </row>
    <row r="4" spans="2:27" ht="76.5">
      <c r="C4" s="45" t="s">
        <v>6</v>
      </c>
      <c r="D4" s="46" t="s">
        <v>7</v>
      </c>
      <c r="E4" s="46" t="s">
        <v>8</v>
      </c>
      <c r="F4" s="46" t="s">
        <v>9</v>
      </c>
      <c r="G4" s="46" t="s">
        <v>10</v>
      </c>
      <c r="H4" s="46" t="s">
        <v>11</v>
      </c>
      <c r="I4" s="46" t="s">
        <v>12</v>
      </c>
      <c r="J4" s="46" t="s">
        <v>13</v>
      </c>
      <c r="K4" s="47" t="s">
        <v>14</v>
      </c>
      <c r="L4" s="57" t="s">
        <v>15</v>
      </c>
      <c r="M4" s="48" t="s">
        <v>16</v>
      </c>
      <c r="N4" s="48" t="s">
        <v>17</v>
      </c>
      <c r="O4" s="49" t="s">
        <v>18</v>
      </c>
      <c r="P4" s="58" t="s">
        <v>19</v>
      </c>
      <c r="Q4" s="48" t="s">
        <v>16</v>
      </c>
      <c r="R4" s="48" t="s">
        <v>17</v>
      </c>
      <c r="S4" s="50" t="s">
        <v>18</v>
      </c>
      <c r="T4" s="60" t="s">
        <v>20</v>
      </c>
      <c r="U4" s="48" t="s">
        <v>16</v>
      </c>
      <c r="V4" s="48" t="s">
        <v>17</v>
      </c>
      <c r="W4" s="49" t="s">
        <v>18</v>
      </c>
      <c r="X4" s="59" t="s">
        <v>21</v>
      </c>
      <c r="Y4" s="48" t="s">
        <v>16</v>
      </c>
      <c r="Z4" s="48" t="s">
        <v>17</v>
      </c>
      <c r="AA4" s="51" t="s">
        <v>18</v>
      </c>
    </row>
    <row r="5" spans="2:27">
      <c r="B5" s="2"/>
      <c r="C5" s="41">
        <v>1</v>
      </c>
      <c r="D5" s="42" t="s">
        <v>22</v>
      </c>
      <c r="E5" s="43">
        <v>100</v>
      </c>
      <c r="F5" s="43">
        <v>100</v>
      </c>
      <c r="G5" s="43">
        <v>200</v>
      </c>
      <c r="H5" s="43">
        <v>200</v>
      </c>
      <c r="I5" s="43">
        <v>300</v>
      </c>
      <c r="J5" s="43">
        <f>SUM(E5:I5)</f>
        <v>900</v>
      </c>
      <c r="K5" s="44">
        <v>300</v>
      </c>
      <c r="L5" s="52"/>
      <c r="M5" s="43"/>
      <c r="N5" s="540">
        <v>3</v>
      </c>
      <c r="O5" s="547">
        <f>M13-N5</f>
        <v>2</v>
      </c>
      <c r="P5" s="41"/>
      <c r="Q5" s="43"/>
      <c r="R5" s="540">
        <v>0</v>
      </c>
      <c r="S5" s="547">
        <f>Q13-R5</f>
        <v>2</v>
      </c>
      <c r="T5" s="41"/>
      <c r="U5" s="43"/>
      <c r="V5" s="540">
        <v>0</v>
      </c>
      <c r="W5" s="547">
        <f>U13-V5</f>
        <v>1</v>
      </c>
      <c r="X5" s="52"/>
      <c r="Y5" s="43"/>
      <c r="Z5" s="540">
        <v>0</v>
      </c>
      <c r="AA5" s="543">
        <f>Y13-Z5</f>
        <v>1</v>
      </c>
    </row>
    <row r="6" spans="2:27">
      <c r="B6" s="2"/>
      <c r="C6" s="33">
        <v>2</v>
      </c>
      <c r="D6" s="34" t="s">
        <v>23</v>
      </c>
      <c r="E6" s="35">
        <v>0</v>
      </c>
      <c r="F6" s="35">
        <v>50</v>
      </c>
      <c r="G6" s="35">
        <v>50</v>
      </c>
      <c r="H6" s="35">
        <v>100</v>
      </c>
      <c r="I6" s="35">
        <v>100</v>
      </c>
      <c r="J6" s="35">
        <f t="shared" ref="J6:J12" si="0">SUM(E6:I6)</f>
        <v>300</v>
      </c>
      <c r="K6" s="39">
        <v>100</v>
      </c>
      <c r="L6" s="53"/>
      <c r="M6" s="35"/>
      <c r="N6" s="541"/>
      <c r="O6" s="548"/>
      <c r="P6" s="33" t="s">
        <v>24</v>
      </c>
      <c r="Q6" s="35">
        <v>1</v>
      </c>
      <c r="R6" s="541"/>
      <c r="S6" s="548"/>
      <c r="T6" s="33"/>
      <c r="U6" s="35"/>
      <c r="V6" s="541"/>
      <c r="W6" s="548"/>
      <c r="X6" s="53" t="s">
        <v>24</v>
      </c>
      <c r="Y6" s="35">
        <v>1</v>
      </c>
      <c r="Z6" s="541"/>
      <c r="AA6" s="544"/>
    </row>
    <row r="7" spans="2:27">
      <c r="B7" s="2"/>
      <c r="C7" s="33">
        <v>3</v>
      </c>
      <c r="D7" s="34" t="s">
        <v>25</v>
      </c>
      <c r="E7" s="35">
        <v>50</v>
      </c>
      <c r="F7" s="35">
        <v>150</v>
      </c>
      <c r="G7" s="35">
        <v>150</v>
      </c>
      <c r="H7" s="35">
        <v>0</v>
      </c>
      <c r="I7" s="35">
        <v>0</v>
      </c>
      <c r="J7" s="35">
        <f t="shared" si="0"/>
        <v>350</v>
      </c>
      <c r="K7" s="39">
        <v>0</v>
      </c>
      <c r="L7" s="53" t="s">
        <v>26</v>
      </c>
      <c r="M7" s="35">
        <v>2</v>
      </c>
      <c r="N7" s="541"/>
      <c r="O7" s="548"/>
      <c r="P7" s="33" t="s">
        <v>26</v>
      </c>
      <c r="Q7" s="35">
        <v>1</v>
      </c>
      <c r="R7" s="541"/>
      <c r="S7" s="548"/>
      <c r="T7" s="33"/>
      <c r="U7" s="35"/>
      <c r="V7" s="541"/>
      <c r="W7" s="548"/>
      <c r="X7" s="53"/>
      <c r="Y7" s="35"/>
      <c r="Z7" s="541"/>
      <c r="AA7" s="544"/>
    </row>
    <row r="8" spans="2:27">
      <c r="B8" s="2"/>
      <c r="C8" s="33">
        <v>4</v>
      </c>
      <c r="D8" s="34" t="s">
        <v>27</v>
      </c>
      <c r="E8" s="35">
        <v>0</v>
      </c>
      <c r="F8" s="35">
        <v>50</v>
      </c>
      <c r="G8" s="35">
        <v>50</v>
      </c>
      <c r="H8" s="35">
        <v>50</v>
      </c>
      <c r="I8" s="35">
        <v>50</v>
      </c>
      <c r="J8" s="35">
        <f t="shared" si="0"/>
        <v>200</v>
      </c>
      <c r="K8" s="39">
        <v>0</v>
      </c>
      <c r="L8" s="53" t="s">
        <v>26</v>
      </c>
      <c r="M8" s="35">
        <v>1</v>
      </c>
      <c r="N8" s="541"/>
      <c r="O8" s="548"/>
      <c r="P8" s="33"/>
      <c r="Q8" s="35"/>
      <c r="R8" s="541"/>
      <c r="S8" s="548"/>
      <c r="T8" s="33"/>
      <c r="U8" s="35"/>
      <c r="V8" s="541"/>
      <c r="W8" s="548"/>
      <c r="X8" s="53"/>
      <c r="Y8" s="35"/>
      <c r="Z8" s="541"/>
      <c r="AA8" s="544"/>
    </row>
    <row r="9" spans="2:27">
      <c r="B9" s="2"/>
      <c r="C9" s="33">
        <v>5</v>
      </c>
      <c r="D9" s="34" t="s">
        <v>28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f t="shared" si="0"/>
        <v>0</v>
      </c>
      <c r="K9" s="39">
        <v>0</v>
      </c>
      <c r="L9" s="53"/>
      <c r="M9" s="35"/>
      <c r="N9" s="541"/>
      <c r="O9" s="548"/>
      <c r="P9" s="33"/>
      <c r="Q9" s="35"/>
      <c r="R9" s="541"/>
      <c r="S9" s="548"/>
      <c r="T9" s="33"/>
      <c r="U9" s="35"/>
      <c r="V9" s="541"/>
      <c r="W9" s="548"/>
      <c r="X9" s="53"/>
      <c r="Y9" s="35"/>
      <c r="Z9" s="541"/>
      <c r="AA9" s="544"/>
    </row>
    <row r="10" spans="2:27">
      <c r="B10" s="2"/>
      <c r="C10" s="33">
        <v>6</v>
      </c>
      <c r="D10" s="34" t="s">
        <v>29</v>
      </c>
      <c r="E10" s="35">
        <v>30</v>
      </c>
      <c r="F10" s="35">
        <v>50</v>
      </c>
      <c r="G10" s="35">
        <v>100</v>
      </c>
      <c r="H10" s="35">
        <v>100</v>
      </c>
      <c r="I10" s="35">
        <v>100</v>
      </c>
      <c r="J10" s="35">
        <f t="shared" si="0"/>
        <v>380</v>
      </c>
      <c r="K10" s="39">
        <v>100</v>
      </c>
      <c r="L10" s="53"/>
      <c r="M10" s="35"/>
      <c r="N10" s="541"/>
      <c r="O10" s="548"/>
      <c r="P10" s="33"/>
      <c r="Q10" s="35"/>
      <c r="R10" s="541"/>
      <c r="S10" s="548"/>
      <c r="T10" s="33" t="s">
        <v>26</v>
      </c>
      <c r="U10" s="35">
        <v>1</v>
      </c>
      <c r="V10" s="541"/>
      <c r="W10" s="548"/>
      <c r="X10" s="53"/>
      <c r="Y10" s="35"/>
      <c r="Z10" s="541"/>
      <c r="AA10" s="544"/>
    </row>
    <row r="11" spans="2:27">
      <c r="B11" s="2"/>
      <c r="C11" s="33">
        <v>7</v>
      </c>
      <c r="D11" s="34" t="s">
        <v>30</v>
      </c>
      <c r="E11" s="35">
        <v>0</v>
      </c>
      <c r="F11" s="35">
        <v>0</v>
      </c>
      <c r="G11" s="35">
        <v>0</v>
      </c>
      <c r="H11" s="35">
        <v>0</v>
      </c>
      <c r="I11" s="35">
        <v>150</v>
      </c>
      <c r="J11" s="35">
        <f t="shared" si="0"/>
        <v>150</v>
      </c>
      <c r="K11" s="39">
        <v>100</v>
      </c>
      <c r="L11" s="53" t="s">
        <v>26</v>
      </c>
      <c r="M11" s="35">
        <v>1</v>
      </c>
      <c r="N11" s="541"/>
      <c r="O11" s="548"/>
      <c r="P11" s="33"/>
      <c r="Q11" s="35"/>
      <c r="R11" s="541"/>
      <c r="S11" s="548"/>
      <c r="T11" s="33"/>
      <c r="U11" s="35"/>
      <c r="V11" s="541"/>
      <c r="W11" s="548"/>
      <c r="X11" s="53"/>
      <c r="Y11" s="35"/>
      <c r="Z11" s="541"/>
      <c r="AA11" s="544"/>
    </row>
    <row r="12" spans="2:27">
      <c r="B12" s="2"/>
      <c r="C12" s="33">
        <v>8</v>
      </c>
      <c r="D12" s="34" t="s">
        <v>31</v>
      </c>
      <c r="E12" s="35">
        <v>100</v>
      </c>
      <c r="F12" s="35">
        <v>150</v>
      </c>
      <c r="G12" s="35">
        <v>150</v>
      </c>
      <c r="H12" s="35">
        <v>150</v>
      </c>
      <c r="I12" s="35">
        <v>200</v>
      </c>
      <c r="J12" s="35">
        <f t="shared" si="0"/>
        <v>750</v>
      </c>
      <c r="K12" s="39">
        <v>200</v>
      </c>
      <c r="L12" s="53" t="s">
        <v>26</v>
      </c>
      <c r="M12" s="35">
        <v>1</v>
      </c>
      <c r="N12" s="541"/>
      <c r="O12" s="548"/>
      <c r="P12" s="33"/>
      <c r="Q12" s="35"/>
      <c r="R12" s="541"/>
      <c r="S12" s="548"/>
      <c r="T12" s="33"/>
      <c r="U12" s="35"/>
      <c r="V12" s="541"/>
      <c r="W12" s="548"/>
      <c r="X12" s="53"/>
      <c r="Y12" s="35"/>
      <c r="Z12" s="541"/>
      <c r="AA12" s="544"/>
    </row>
    <row r="13" spans="2:27">
      <c r="B13" s="2"/>
      <c r="C13" s="36"/>
      <c r="D13" s="37" t="s">
        <v>32</v>
      </c>
      <c r="E13" s="38">
        <f t="shared" ref="E13:I13" si="1">SUM(E5:E12)</f>
        <v>280</v>
      </c>
      <c r="F13" s="38">
        <f t="shared" si="1"/>
        <v>550</v>
      </c>
      <c r="G13" s="38">
        <f t="shared" si="1"/>
        <v>700</v>
      </c>
      <c r="H13" s="38">
        <f t="shared" si="1"/>
        <v>600</v>
      </c>
      <c r="I13" s="38">
        <f t="shared" si="1"/>
        <v>900</v>
      </c>
      <c r="J13" s="38">
        <f>SUM(E13:I13)</f>
        <v>3030</v>
      </c>
      <c r="K13" s="40">
        <f>SUM(K5:K12)</f>
        <v>800</v>
      </c>
      <c r="L13" s="54" t="s">
        <v>33</v>
      </c>
      <c r="M13" s="55">
        <f>SUM(M5:M12)</f>
        <v>5</v>
      </c>
      <c r="N13" s="542"/>
      <c r="O13" s="549"/>
      <c r="P13" s="56" t="s">
        <v>33</v>
      </c>
      <c r="Q13" s="55">
        <f>SUM(Q5:Q12)-R5</f>
        <v>2</v>
      </c>
      <c r="R13" s="542"/>
      <c r="S13" s="549"/>
      <c r="T13" s="56" t="s">
        <v>33</v>
      </c>
      <c r="U13" s="55">
        <f>SUM(U5:U12)</f>
        <v>1</v>
      </c>
      <c r="V13" s="542"/>
      <c r="W13" s="549"/>
      <c r="X13" s="54" t="s">
        <v>33</v>
      </c>
      <c r="Y13" s="55">
        <f>SUM(Y5:Y12)</f>
        <v>1</v>
      </c>
      <c r="Z13" s="542"/>
      <c r="AA13" s="545"/>
    </row>
    <row r="15" spans="2:27" ht="19.149999999999999" customHeight="1">
      <c r="D15" s="31" t="s">
        <v>34</v>
      </c>
      <c r="E15" s="546">
        <f>SUM(E13:I13)</f>
        <v>3030</v>
      </c>
      <c r="F15" s="546"/>
      <c r="G15" s="546"/>
      <c r="H15" s="546"/>
      <c r="I15" s="546"/>
      <c r="J15" s="32"/>
    </row>
    <row r="16" spans="2:27">
      <c r="D16" s="31" t="s">
        <v>35</v>
      </c>
      <c r="E16" s="546">
        <f>E15*1800</f>
        <v>5454000</v>
      </c>
      <c r="F16" s="546"/>
      <c r="G16" s="546"/>
      <c r="H16" s="546"/>
      <c r="I16" s="546"/>
      <c r="J16" s="32"/>
    </row>
    <row r="17" spans="4:10">
      <c r="D17" s="31" t="s">
        <v>36</v>
      </c>
      <c r="E17" s="546">
        <v>165</v>
      </c>
      <c r="F17" s="546"/>
      <c r="G17" s="546"/>
      <c r="H17" s="546"/>
      <c r="I17" s="546"/>
      <c r="J17" s="32"/>
    </row>
    <row r="18" spans="4:10">
      <c r="D18" s="31" t="s">
        <v>37</v>
      </c>
      <c r="E18" s="546">
        <f>E16*E17</f>
        <v>899910000</v>
      </c>
      <c r="F18" s="546"/>
      <c r="G18" s="546"/>
      <c r="H18" s="546"/>
      <c r="I18" s="546"/>
      <c r="J18" s="32"/>
    </row>
  </sheetData>
  <mergeCells count="17">
    <mergeCell ref="C2:K2"/>
    <mergeCell ref="E15:I15"/>
    <mergeCell ref="S5:S13"/>
    <mergeCell ref="P3:S3"/>
    <mergeCell ref="L3:O3"/>
    <mergeCell ref="E18:I18"/>
    <mergeCell ref="N5:N13"/>
    <mergeCell ref="R5:R13"/>
    <mergeCell ref="O5:O13"/>
    <mergeCell ref="T3:W3"/>
    <mergeCell ref="V5:V13"/>
    <mergeCell ref="W5:W13"/>
    <mergeCell ref="X3:AA3"/>
    <mergeCell ref="Z5:Z13"/>
    <mergeCell ref="AA5:AA13"/>
    <mergeCell ref="E16:I16"/>
    <mergeCell ref="E17:I17"/>
  </mergeCells>
  <phoneticPr fontId="1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C160-C08E-40CA-87D0-9ADE0F0A1AC6}">
  <sheetPr codeName="Sheet2"/>
  <dimension ref="C2:I21"/>
  <sheetViews>
    <sheetView topLeftCell="A2" workbookViewId="0">
      <selection activeCell="C28" sqref="C27:C28"/>
    </sheetView>
  </sheetViews>
  <sheetFormatPr defaultColWidth="8.85546875" defaultRowHeight="19.5"/>
  <cols>
    <col min="1" max="3" width="8.85546875" style="1"/>
    <col min="4" max="4" width="36.85546875" style="1" bestFit="1" customWidth="1"/>
    <col min="5" max="5" width="15.28515625" style="1" customWidth="1"/>
    <col min="6" max="6" width="15.42578125" style="3" customWidth="1"/>
    <col min="7" max="7" width="19.28515625" style="3" customWidth="1"/>
    <col min="8" max="8" width="18.140625" style="1" customWidth="1"/>
    <col min="9" max="9" width="17.7109375" style="1" customWidth="1"/>
    <col min="10" max="16384" width="8.85546875" style="1"/>
  </cols>
  <sheetData>
    <row r="2" spans="3:9" ht="38.25">
      <c r="C2" s="555" t="s">
        <v>38</v>
      </c>
      <c r="D2" s="555"/>
      <c r="E2" s="555"/>
      <c r="F2" s="555"/>
      <c r="G2" s="555"/>
      <c r="H2" s="555"/>
      <c r="I2" s="555"/>
    </row>
    <row r="4" spans="3:9" ht="23.25" thickBot="1">
      <c r="H4" s="554" t="s">
        <v>39</v>
      </c>
      <c r="I4" s="554"/>
    </row>
    <row r="5" spans="3:9" ht="21" thickBot="1">
      <c r="C5" s="26"/>
      <c r="D5" s="27" t="s">
        <v>40</v>
      </c>
      <c r="E5" s="27" t="s">
        <v>41</v>
      </c>
      <c r="F5" s="28" t="s">
        <v>42</v>
      </c>
      <c r="G5" s="28" t="s">
        <v>43</v>
      </c>
      <c r="H5" s="29" t="s">
        <v>44</v>
      </c>
      <c r="I5" s="30" t="s">
        <v>45</v>
      </c>
    </row>
    <row r="6" spans="3:9">
      <c r="C6" s="568" t="s">
        <v>46</v>
      </c>
      <c r="D6" s="8" t="s">
        <v>47</v>
      </c>
      <c r="E6" s="9">
        <v>28</v>
      </c>
      <c r="F6" s="576">
        <v>14</v>
      </c>
      <c r="G6" s="571">
        <v>53</v>
      </c>
      <c r="H6" s="558">
        <v>53</v>
      </c>
      <c r="I6" s="560"/>
    </row>
    <row r="7" spans="3:9">
      <c r="C7" s="569"/>
      <c r="D7" s="4" t="s">
        <v>48</v>
      </c>
      <c r="E7" s="5">
        <v>39</v>
      </c>
      <c r="F7" s="571"/>
      <c r="G7" s="572"/>
      <c r="H7" s="559"/>
      <c r="I7" s="561"/>
    </row>
    <row r="8" spans="3:9">
      <c r="C8" s="569"/>
      <c r="D8" s="4" t="s">
        <v>49</v>
      </c>
      <c r="E8" s="5">
        <v>12</v>
      </c>
      <c r="F8" s="575">
        <v>12</v>
      </c>
      <c r="G8" s="572">
        <v>9</v>
      </c>
      <c r="H8" s="562">
        <v>9</v>
      </c>
      <c r="I8" s="563"/>
    </row>
    <row r="9" spans="3:9">
      <c r="C9" s="569"/>
      <c r="D9" s="4" t="s">
        <v>50</v>
      </c>
      <c r="E9" s="5">
        <v>9</v>
      </c>
      <c r="F9" s="571"/>
      <c r="G9" s="572"/>
      <c r="H9" s="559"/>
      <c r="I9" s="561"/>
    </row>
    <row r="10" spans="3:9">
      <c r="C10" s="569"/>
      <c r="D10" s="4" t="s">
        <v>51</v>
      </c>
      <c r="E10" s="5">
        <v>5</v>
      </c>
      <c r="F10" s="575" t="s">
        <v>52</v>
      </c>
      <c r="G10" s="572">
        <v>7</v>
      </c>
      <c r="H10" s="562">
        <v>7</v>
      </c>
      <c r="I10" s="563"/>
    </row>
    <row r="11" spans="3:9">
      <c r="C11" s="569"/>
      <c r="D11" s="4" t="s">
        <v>53</v>
      </c>
      <c r="E11" s="5">
        <v>4</v>
      </c>
      <c r="F11" s="571"/>
      <c r="G11" s="572"/>
      <c r="H11" s="559"/>
      <c r="I11" s="561"/>
    </row>
    <row r="12" spans="3:9">
      <c r="C12" s="569"/>
      <c r="D12" s="4" t="s">
        <v>54</v>
      </c>
      <c r="E12" s="5">
        <v>10</v>
      </c>
      <c r="F12" s="575">
        <v>27</v>
      </c>
      <c r="G12" s="556" t="s">
        <v>55</v>
      </c>
      <c r="H12" s="564">
        <v>20</v>
      </c>
      <c r="I12" s="566">
        <v>35</v>
      </c>
    </row>
    <row r="13" spans="3:9">
      <c r="C13" s="569"/>
      <c r="D13" s="4" t="s">
        <v>56</v>
      </c>
      <c r="E13" s="5">
        <v>2</v>
      </c>
      <c r="F13" s="571"/>
      <c r="G13" s="557"/>
      <c r="H13" s="565"/>
      <c r="I13" s="567"/>
    </row>
    <row r="14" spans="3:9">
      <c r="C14" s="569"/>
      <c r="D14" s="4" t="s">
        <v>57</v>
      </c>
      <c r="E14" s="5">
        <v>3</v>
      </c>
      <c r="F14" s="16"/>
      <c r="G14" s="16">
        <v>3</v>
      </c>
      <c r="H14" s="12">
        <v>3</v>
      </c>
      <c r="I14" s="13"/>
    </row>
    <row r="15" spans="3:9">
      <c r="C15" s="569"/>
      <c r="D15" s="4" t="s">
        <v>58</v>
      </c>
      <c r="E15" s="5">
        <v>1</v>
      </c>
      <c r="F15" s="16"/>
      <c r="G15" s="16">
        <v>1</v>
      </c>
      <c r="H15" s="12">
        <v>1</v>
      </c>
      <c r="I15" s="13"/>
    </row>
    <row r="16" spans="3:9" ht="20.25" thickBot="1">
      <c r="C16" s="570"/>
      <c r="D16" s="19" t="s">
        <v>59</v>
      </c>
      <c r="E16" s="20">
        <v>5</v>
      </c>
      <c r="F16" s="17"/>
      <c r="G16" s="17">
        <v>5</v>
      </c>
      <c r="H16" s="10">
        <v>5</v>
      </c>
      <c r="I16" s="11"/>
    </row>
    <row r="17" spans="3:9">
      <c r="C17" s="573" t="s">
        <v>60</v>
      </c>
      <c r="D17" s="21" t="s">
        <v>47</v>
      </c>
      <c r="E17" s="22">
        <v>3</v>
      </c>
      <c r="F17" s="23"/>
      <c r="G17" s="23">
        <v>3</v>
      </c>
      <c r="H17" s="24">
        <v>3</v>
      </c>
      <c r="I17" s="25"/>
    </row>
    <row r="18" spans="3:9">
      <c r="C18" s="569"/>
      <c r="D18" s="4" t="s">
        <v>49</v>
      </c>
      <c r="E18" s="5">
        <v>2</v>
      </c>
      <c r="F18" s="16"/>
      <c r="G18" s="16">
        <v>2</v>
      </c>
      <c r="H18" s="12">
        <v>2</v>
      </c>
      <c r="I18" s="13"/>
    </row>
    <row r="19" spans="3:9">
      <c r="C19" s="569"/>
      <c r="D19" s="4" t="s">
        <v>51</v>
      </c>
      <c r="E19" s="5">
        <v>2</v>
      </c>
      <c r="F19" s="16"/>
      <c r="G19" s="16">
        <v>2</v>
      </c>
      <c r="H19" s="12">
        <v>2</v>
      </c>
      <c r="I19" s="13"/>
    </row>
    <row r="20" spans="3:9">
      <c r="C20" s="569"/>
      <c r="D20" s="4" t="s">
        <v>61</v>
      </c>
      <c r="E20" s="5">
        <v>1</v>
      </c>
      <c r="F20" s="16"/>
      <c r="G20" s="16">
        <v>1</v>
      </c>
      <c r="H20" s="12">
        <v>1</v>
      </c>
      <c r="I20" s="13"/>
    </row>
    <row r="21" spans="3:9" ht="20.25" thickBot="1">
      <c r="C21" s="574"/>
      <c r="D21" s="6" t="s">
        <v>57</v>
      </c>
      <c r="E21" s="7">
        <v>1</v>
      </c>
      <c r="F21" s="18"/>
      <c r="G21" s="18">
        <v>1</v>
      </c>
      <c r="H21" s="14">
        <v>1</v>
      </c>
      <c r="I21" s="15"/>
    </row>
  </sheetData>
  <mergeCells count="20">
    <mergeCell ref="C17:C21"/>
    <mergeCell ref="F12:F13"/>
    <mergeCell ref="F8:F9"/>
    <mergeCell ref="F6:F7"/>
    <mergeCell ref="F10:F11"/>
    <mergeCell ref="H4:I4"/>
    <mergeCell ref="C2:I2"/>
    <mergeCell ref="G12:G13"/>
    <mergeCell ref="H6:H7"/>
    <mergeCell ref="I6:I7"/>
    <mergeCell ref="H8:H9"/>
    <mergeCell ref="I8:I9"/>
    <mergeCell ref="H10:H11"/>
    <mergeCell ref="I10:I11"/>
    <mergeCell ref="H12:H13"/>
    <mergeCell ref="I12:I13"/>
    <mergeCell ref="C6:C16"/>
    <mergeCell ref="G6:G7"/>
    <mergeCell ref="G8:G9"/>
    <mergeCell ref="G10:G11"/>
  </mergeCells>
  <phoneticPr fontId="10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FFBA-1855-4587-B2D2-0BDEA3B52879}">
  <sheetPr codeName="Sheet3"/>
  <dimension ref="B2:X18"/>
  <sheetViews>
    <sheetView topLeftCell="B1" workbookViewId="0">
      <selection activeCell="AC8" sqref="AC8"/>
    </sheetView>
  </sheetViews>
  <sheetFormatPr defaultColWidth="8.85546875" defaultRowHeight="19.5"/>
  <cols>
    <col min="1" max="3" width="8.85546875" style="1"/>
    <col min="4" max="4" width="22" style="1" bestFit="1" customWidth="1"/>
    <col min="5" max="5" width="7.42578125" style="1" customWidth="1"/>
    <col min="6" max="6" width="4.42578125" style="1" customWidth="1"/>
    <col min="7" max="8" width="4.85546875" style="1" customWidth="1"/>
    <col min="9" max="9" width="6.42578125" style="1" customWidth="1"/>
    <col min="10" max="12" width="4.85546875" style="1" customWidth="1"/>
    <col min="13" max="13" width="6.7109375" style="1" customWidth="1"/>
    <col min="14" max="16" width="4.85546875" style="1" customWidth="1"/>
    <col min="17" max="17" width="8.7109375" style="1" customWidth="1"/>
    <col min="18" max="20" width="4.85546875" style="1" customWidth="1"/>
    <col min="21" max="21" width="6.7109375" style="1" customWidth="1"/>
    <col min="22" max="24" width="4.85546875" style="1" customWidth="1"/>
    <col min="25" max="16384" width="8.85546875" style="1"/>
  </cols>
  <sheetData>
    <row r="2" spans="2:24" ht="39" thickBot="1">
      <c r="C2" s="551"/>
      <c r="D2" s="551"/>
      <c r="U2" s="86"/>
      <c r="V2" s="86"/>
      <c r="W2" s="86"/>
      <c r="X2" s="86"/>
    </row>
    <row r="3" spans="2:24" ht="20.25" thickBot="1">
      <c r="E3" s="553" t="s">
        <v>2</v>
      </c>
      <c r="F3" s="538"/>
      <c r="G3" s="538"/>
      <c r="H3" s="538"/>
      <c r="I3" s="550" t="s">
        <v>3</v>
      </c>
      <c r="J3" s="538"/>
      <c r="K3" s="538"/>
      <c r="L3" s="552"/>
      <c r="M3" s="582" t="s">
        <v>62</v>
      </c>
      <c r="N3" s="583"/>
      <c r="O3" s="583"/>
      <c r="P3" s="583"/>
      <c r="Q3" s="537" t="s">
        <v>5</v>
      </c>
      <c r="R3" s="538"/>
      <c r="S3" s="538"/>
      <c r="T3" s="538"/>
      <c r="U3" s="550" t="s">
        <v>4</v>
      </c>
      <c r="V3" s="538"/>
      <c r="W3" s="538"/>
      <c r="X3" s="577"/>
    </row>
    <row r="4" spans="2:24" ht="90" customHeight="1" thickBot="1">
      <c r="C4" s="45" t="s">
        <v>6</v>
      </c>
      <c r="D4" s="46" t="s">
        <v>63</v>
      </c>
      <c r="E4" s="57" t="s">
        <v>15</v>
      </c>
      <c r="F4" s="48" t="s">
        <v>64</v>
      </c>
      <c r="G4" s="48" t="s">
        <v>17</v>
      </c>
      <c r="H4" s="49" t="s">
        <v>18</v>
      </c>
      <c r="I4" s="60" t="s">
        <v>65</v>
      </c>
      <c r="J4" s="48" t="s">
        <v>16</v>
      </c>
      <c r="K4" s="48" t="s">
        <v>17</v>
      </c>
      <c r="L4" s="50" t="s">
        <v>18</v>
      </c>
      <c r="M4" s="60" t="s">
        <v>66</v>
      </c>
      <c r="N4" s="48" t="s">
        <v>16</v>
      </c>
      <c r="O4" s="48" t="s">
        <v>17</v>
      </c>
      <c r="P4" s="49" t="s">
        <v>18</v>
      </c>
      <c r="Q4" s="57" t="s">
        <v>67</v>
      </c>
      <c r="R4" s="48" t="s">
        <v>16</v>
      </c>
      <c r="S4" s="48" t="s">
        <v>17</v>
      </c>
      <c r="T4" s="49" t="s">
        <v>18</v>
      </c>
      <c r="U4" s="87" t="s">
        <v>20</v>
      </c>
      <c r="V4" s="88" t="s">
        <v>16</v>
      </c>
      <c r="W4" s="88" t="s">
        <v>17</v>
      </c>
      <c r="X4" s="97" t="s">
        <v>18</v>
      </c>
    </row>
    <row r="5" spans="2:24">
      <c r="B5" s="2"/>
      <c r="C5" s="41">
        <v>1</v>
      </c>
      <c r="D5" s="42" t="s">
        <v>22</v>
      </c>
      <c r="E5" s="52"/>
      <c r="F5" s="43"/>
      <c r="G5" s="584">
        <v>3</v>
      </c>
      <c r="H5" s="547">
        <f>F16-G5</f>
        <v>0</v>
      </c>
      <c r="I5" s="41"/>
      <c r="J5" s="43"/>
      <c r="K5" s="584">
        <v>2</v>
      </c>
      <c r="L5" s="547">
        <f>J16-K5</f>
        <v>5</v>
      </c>
      <c r="M5" s="91" t="s">
        <v>24</v>
      </c>
      <c r="N5" s="43">
        <v>2</v>
      </c>
      <c r="O5" s="540">
        <v>0</v>
      </c>
      <c r="P5" s="547">
        <f>N16-O5</f>
        <v>2</v>
      </c>
      <c r="Q5" s="52"/>
      <c r="R5" s="43"/>
      <c r="S5" s="540">
        <v>0</v>
      </c>
      <c r="T5" s="547">
        <f>R16-S5</f>
        <v>1</v>
      </c>
      <c r="U5" s="89"/>
      <c r="V5" s="90"/>
      <c r="W5" s="578">
        <v>0</v>
      </c>
      <c r="X5" s="579">
        <f>V16-W5</f>
        <v>1</v>
      </c>
    </row>
    <row r="6" spans="2:24">
      <c r="B6" s="2"/>
      <c r="C6" s="33">
        <v>2</v>
      </c>
      <c r="D6" s="34" t="s">
        <v>23</v>
      </c>
      <c r="E6" s="53"/>
      <c r="F6" s="35"/>
      <c r="G6" s="585"/>
      <c r="H6" s="548"/>
      <c r="I6" s="33" t="s">
        <v>24</v>
      </c>
      <c r="J6" s="35"/>
      <c r="K6" s="585"/>
      <c r="L6" s="548"/>
      <c r="M6" s="33"/>
      <c r="N6" s="35"/>
      <c r="O6" s="541"/>
      <c r="P6" s="548"/>
      <c r="Q6" s="53" t="s">
        <v>24</v>
      </c>
      <c r="R6" s="35">
        <v>1</v>
      </c>
      <c r="S6" s="541"/>
      <c r="T6" s="548"/>
      <c r="U6" s="91"/>
      <c r="V6" s="92"/>
      <c r="W6" s="541"/>
      <c r="X6" s="580"/>
    </row>
    <row r="7" spans="2:24">
      <c r="B7" s="2"/>
      <c r="C7" s="33">
        <v>3</v>
      </c>
      <c r="D7" s="34" t="s">
        <v>25</v>
      </c>
      <c r="E7" s="53" t="s">
        <v>26</v>
      </c>
      <c r="F7" s="35">
        <v>1</v>
      </c>
      <c r="G7" s="585"/>
      <c r="H7" s="548"/>
      <c r="I7" s="33" t="s">
        <v>26</v>
      </c>
      <c r="J7" s="111">
        <v>1</v>
      </c>
      <c r="K7" s="585"/>
      <c r="L7" s="548"/>
      <c r="M7" s="33"/>
      <c r="N7" s="35"/>
      <c r="O7" s="541"/>
      <c r="P7" s="548"/>
      <c r="Q7" s="53"/>
      <c r="R7" s="35"/>
      <c r="S7" s="541"/>
      <c r="T7" s="548"/>
      <c r="U7" s="91"/>
      <c r="V7" s="92"/>
      <c r="W7" s="541"/>
      <c r="X7" s="580"/>
    </row>
    <row r="8" spans="2:24">
      <c r="B8" s="2"/>
      <c r="C8" s="33">
        <v>4</v>
      </c>
      <c r="D8" s="34" t="s">
        <v>27</v>
      </c>
      <c r="E8" s="53" t="s">
        <v>26</v>
      </c>
      <c r="F8" s="35"/>
      <c r="G8" s="585"/>
      <c r="H8" s="548"/>
      <c r="I8" s="33"/>
      <c r="J8" s="35"/>
      <c r="K8" s="585"/>
      <c r="L8" s="548"/>
      <c r="M8" s="33"/>
      <c r="N8" s="35"/>
      <c r="O8" s="541"/>
      <c r="P8" s="548"/>
      <c r="Q8" s="53"/>
      <c r="R8" s="35"/>
      <c r="S8" s="541"/>
      <c r="T8" s="548"/>
      <c r="U8" s="91"/>
      <c r="V8" s="92"/>
      <c r="W8" s="541"/>
      <c r="X8" s="580"/>
    </row>
    <row r="9" spans="2:24">
      <c r="B9" s="2"/>
      <c r="C9" s="33">
        <v>5</v>
      </c>
      <c r="D9" s="34" t="s">
        <v>28</v>
      </c>
      <c r="E9" s="53"/>
      <c r="F9" s="35"/>
      <c r="G9" s="585"/>
      <c r="H9" s="548"/>
      <c r="I9" s="33"/>
      <c r="J9" s="35"/>
      <c r="K9" s="585"/>
      <c r="L9" s="548"/>
      <c r="M9" s="33"/>
      <c r="N9" s="35"/>
      <c r="O9" s="541"/>
      <c r="P9" s="548"/>
      <c r="Q9" s="53"/>
      <c r="R9" s="35"/>
      <c r="S9" s="541"/>
      <c r="T9" s="548"/>
      <c r="U9" s="91"/>
      <c r="V9" s="92"/>
      <c r="W9" s="541"/>
      <c r="X9" s="580"/>
    </row>
    <row r="10" spans="2:24">
      <c r="B10" s="2"/>
      <c r="C10" s="33">
        <v>6</v>
      </c>
      <c r="D10" s="34" t="s">
        <v>29</v>
      </c>
      <c r="E10" s="53"/>
      <c r="F10" s="35"/>
      <c r="G10" s="585"/>
      <c r="H10" s="548"/>
      <c r="I10" s="33"/>
      <c r="J10" s="35"/>
      <c r="K10" s="585"/>
      <c r="L10" s="548"/>
      <c r="M10" s="33"/>
      <c r="N10" s="35"/>
      <c r="O10" s="541"/>
      <c r="P10" s="548"/>
      <c r="Q10" s="53"/>
      <c r="R10" s="35"/>
      <c r="S10" s="541"/>
      <c r="T10" s="548"/>
      <c r="U10" s="91" t="s">
        <v>26</v>
      </c>
      <c r="V10" s="92">
        <v>1</v>
      </c>
      <c r="W10" s="541"/>
      <c r="X10" s="580"/>
    </row>
    <row r="11" spans="2:24">
      <c r="B11" s="2"/>
      <c r="C11" s="33">
        <v>7</v>
      </c>
      <c r="D11" s="34" t="s">
        <v>30</v>
      </c>
      <c r="E11" s="53" t="s">
        <v>26</v>
      </c>
      <c r="F11" s="35"/>
      <c r="G11" s="585"/>
      <c r="H11" s="548"/>
      <c r="I11" s="33"/>
      <c r="J11" s="35"/>
      <c r="K11" s="585"/>
      <c r="L11" s="548"/>
      <c r="M11" s="33"/>
      <c r="N11" s="35"/>
      <c r="O11" s="541"/>
      <c r="P11" s="548"/>
      <c r="Q11" s="53"/>
      <c r="R11" s="35"/>
      <c r="S11" s="541"/>
      <c r="T11" s="548"/>
      <c r="U11" s="91"/>
      <c r="V11" s="92"/>
      <c r="W11" s="541"/>
      <c r="X11" s="580"/>
    </row>
    <row r="12" spans="2:24">
      <c r="B12" s="2"/>
      <c r="C12" s="33">
        <v>8</v>
      </c>
      <c r="D12" s="34" t="s">
        <v>31</v>
      </c>
      <c r="E12" s="53" t="s">
        <v>26</v>
      </c>
      <c r="F12" s="35">
        <v>1</v>
      </c>
      <c r="G12" s="585"/>
      <c r="H12" s="548"/>
      <c r="I12" s="33"/>
      <c r="J12" s="35"/>
      <c r="K12" s="585"/>
      <c r="L12" s="548"/>
      <c r="M12" s="33"/>
      <c r="N12" s="35"/>
      <c r="O12" s="541"/>
      <c r="P12" s="548"/>
      <c r="Q12" s="53"/>
      <c r="R12" s="35"/>
      <c r="S12" s="541"/>
      <c r="T12" s="548"/>
      <c r="U12" s="91"/>
      <c r="V12" s="92"/>
      <c r="W12" s="541"/>
      <c r="X12" s="580"/>
    </row>
    <row r="13" spans="2:24">
      <c r="B13" s="2"/>
      <c r="C13" s="61">
        <v>9</v>
      </c>
      <c r="D13" s="70" t="s">
        <v>68</v>
      </c>
      <c r="E13" s="71"/>
      <c r="F13" s="62"/>
      <c r="G13" s="585"/>
      <c r="H13" s="548"/>
      <c r="I13" s="53" t="s">
        <v>26</v>
      </c>
      <c r="J13" s="35">
        <v>1</v>
      </c>
      <c r="K13" s="585"/>
      <c r="L13" s="548"/>
      <c r="M13" s="61"/>
      <c r="N13" s="62"/>
      <c r="O13" s="541"/>
      <c r="P13" s="548"/>
      <c r="Q13" s="71"/>
      <c r="R13" s="62"/>
      <c r="S13" s="541"/>
      <c r="T13" s="548"/>
      <c r="U13" s="93"/>
      <c r="V13" s="94"/>
      <c r="W13" s="541"/>
      <c r="X13" s="580"/>
    </row>
    <row r="14" spans="2:24">
      <c r="B14" s="2"/>
      <c r="C14" s="61">
        <v>10</v>
      </c>
      <c r="D14" s="70" t="s">
        <v>69</v>
      </c>
      <c r="E14" s="53"/>
      <c r="F14" s="62"/>
      <c r="G14" s="585"/>
      <c r="H14" s="548"/>
      <c r="I14" s="53" t="s">
        <v>26</v>
      </c>
      <c r="J14" s="130">
        <v>5</v>
      </c>
      <c r="K14" s="585"/>
      <c r="L14" s="548"/>
      <c r="M14" s="61"/>
      <c r="N14" s="62"/>
      <c r="O14" s="541"/>
      <c r="P14" s="548"/>
      <c r="Q14" s="71"/>
      <c r="R14" s="62"/>
      <c r="S14" s="541"/>
      <c r="T14" s="548"/>
      <c r="U14" s="93"/>
      <c r="V14" s="94"/>
      <c r="W14" s="541"/>
      <c r="X14" s="580"/>
    </row>
    <row r="15" spans="2:24">
      <c r="B15" s="2"/>
      <c r="C15" s="61">
        <v>11</v>
      </c>
      <c r="D15" s="70" t="s">
        <v>70</v>
      </c>
      <c r="E15" s="53" t="s">
        <v>26</v>
      </c>
      <c r="F15" s="62">
        <v>1</v>
      </c>
      <c r="G15" s="585"/>
      <c r="H15" s="548"/>
      <c r="I15" s="61"/>
      <c r="J15" s="62"/>
      <c r="K15" s="585"/>
      <c r="L15" s="548"/>
      <c r="M15" s="61"/>
      <c r="N15" s="62"/>
      <c r="O15" s="541"/>
      <c r="P15" s="548"/>
      <c r="Q15" s="71"/>
      <c r="R15" s="62"/>
      <c r="S15" s="541"/>
      <c r="T15" s="548"/>
      <c r="U15" s="93"/>
      <c r="V15" s="94"/>
      <c r="W15" s="541"/>
      <c r="X15" s="580"/>
    </row>
    <row r="16" spans="2:24" ht="20.25" thickBot="1">
      <c r="B16" s="2"/>
      <c r="C16" s="36"/>
      <c r="D16" s="37" t="s">
        <v>32</v>
      </c>
      <c r="E16" s="54" t="s">
        <v>33</v>
      </c>
      <c r="F16" s="55">
        <f>SUM(F5:F15)</f>
        <v>3</v>
      </c>
      <c r="G16" s="586"/>
      <c r="H16" s="549"/>
      <c r="I16" s="56" t="s">
        <v>33</v>
      </c>
      <c r="J16" s="55">
        <f>SUM(J5:J15)</f>
        <v>7</v>
      </c>
      <c r="K16" s="586"/>
      <c r="L16" s="549"/>
      <c r="M16" s="56" t="s">
        <v>33</v>
      </c>
      <c r="N16" s="55">
        <f>SUM(N5:N15)</f>
        <v>2</v>
      </c>
      <c r="O16" s="542"/>
      <c r="P16" s="549"/>
      <c r="Q16" s="54" t="s">
        <v>33</v>
      </c>
      <c r="R16" s="55">
        <f>SUM(R5:R12)</f>
        <v>1</v>
      </c>
      <c r="S16" s="542"/>
      <c r="T16" s="549"/>
      <c r="U16" s="95" t="s">
        <v>33</v>
      </c>
      <c r="V16" s="96">
        <f>SUM(V5:V15)</f>
        <v>1</v>
      </c>
      <c r="W16" s="542"/>
      <c r="X16" s="581"/>
    </row>
    <row r="17" spans="21:24">
      <c r="U17" s="86"/>
      <c r="V17" s="86"/>
      <c r="W17" s="86"/>
      <c r="X17" s="86"/>
    </row>
    <row r="18" spans="21:24" ht="19.149999999999999" customHeight="1">
      <c r="U18" s="86"/>
      <c r="V18" s="86"/>
      <c r="W18" s="86"/>
      <c r="X18" s="86"/>
    </row>
  </sheetData>
  <mergeCells count="16">
    <mergeCell ref="G5:G16"/>
    <mergeCell ref="H5:H16"/>
    <mergeCell ref="K5:K16"/>
    <mergeCell ref="L5:L16"/>
    <mergeCell ref="O5:O16"/>
    <mergeCell ref="C2:D2"/>
    <mergeCell ref="E3:H3"/>
    <mergeCell ref="I3:L3"/>
    <mergeCell ref="M3:P3"/>
    <mergeCell ref="Q3:T3"/>
    <mergeCell ref="U3:X3"/>
    <mergeCell ref="W5:W16"/>
    <mergeCell ref="X5:X16"/>
    <mergeCell ref="P5:P16"/>
    <mergeCell ref="S5:S16"/>
    <mergeCell ref="T5:T16"/>
  </mergeCells>
  <phoneticPr fontId="10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67F3-0C4D-49B3-94ED-A6CECD417C4F}">
  <sheetPr codeName="Sheet4">
    <tabColor theme="1" tint="0.34998626667073579"/>
  </sheetPr>
  <dimension ref="B2:Y34"/>
  <sheetViews>
    <sheetView zoomScale="85" zoomScaleNormal="85" workbookViewId="0">
      <selection activeCell="R14" sqref="R14"/>
    </sheetView>
  </sheetViews>
  <sheetFormatPr defaultColWidth="8.85546875" defaultRowHeight="19.5"/>
  <cols>
    <col min="1" max="2" width="8.85546875" style="1"/>
    <col min="3" max="3" width="8.85546875" style="1" customWidth="1"/>
    <col min="4" max="4" width="23.28515625" style="1" bestFit="1" customWidth="1"/>
    <col min="5" max="5" width="24.140625" style="1" bestFit="1" customWidth="1"/>
    <col min="6" max="6" width="6" style="1" customWidth="1"/>
    <col min="7" max="8" width="7.140625" style="1" customWidth="1"/>
    <col min="9" max="11" width="6.28515625" style="1" bestFit="1" customWidth="1"/>
    <col min="12" max="12" width="11.42578125" style="110" customWidth="1"/>
    <col min="13" max="13" width="7.7109375" style="1" customWidth="1"/>
    <col min="14" max="15" width="7.5703125" style="1" customWidth="1"/>
    <col min="16" max="16" width="6.7109375" style="1" customWidth="1"/>
    <col min="17" max="17" width="7.5703125" style="1" customWidth="1"/>
    <col min="18" max="18" width="6.7109375" style="1" customWidth="1"/>
    <col min="19" max="19" width="7.42578125" style="1" customWidth="1"/>
    <col min="20" max="20" width="7.140625" style="1" customWidth="1"/>
    <col min="21" max="21" width="8.42578125" style="1" customWidth="1"/>
    <col min="22" max="22" width="6.7109375" style="1" customWidth="1"/>
    <col min="23" max="24" width="7.42578125" style="1" customWidth="1"/>
    <col min="25" max="25" width="11.42578125" style="110" customWidth="1"/>
    <col min="26" max="16384" width="8.85546875" style="1"/>
  </cols>
  <sheetData>
    <row r="2" spans="2:25" ht="38.25">
      <c r="C2" s="551" t="s">
        <v>71</v>
      </c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2:25" ht="20.25" thickBot="1">
      <c r="J3" s="615" t="s">
        <v>72</v>
      </c>
      <c r="K3" s="615"/>
      <c r="L3" s="615"/>
      <c r="M3" s="615"/>
    </row>
    <row r="4" spans="2:25" ht="20.25" thickBot="1">
      <c r="C4" s="45" t="s">
        <v>73</v>
      </c>
      <c r="D4" s="46" t="s">
        <v>7</v>
      </c>
      <c r="E4" s="46"/>
      <c r="F4" s="46"/>
      <c r="G4" s="46" t="s">
        <v>8</v>
      </c>
      <c r="H4" s="46" t="s">
        <v>9</v>
      </c>
      <c r="I4" s="46" t="s">
        <v>10</v>
      </c>
      <c r="J4" s="46" t="s">
        <v>11</v>
      </c>
      <c r="K4" s="46" t="s">
        <v>74</v>
      </c>
      <c r="L4" s="105" t="s">
        <v>13</v>
      </c>
      <c r="M4" s="46" t="s">
        <v>14</v>
      </c>
      <c r="N4" s="46" t="s">
        <v>75</v>
      </c>
      <c r="O4" s="46" t="s">
        <v>76</v>
      </c>
      <c r="P4" s="46" t="s">
        <v>77</v>
      </c>
      <c r="Q4" s="46" t="s">
        <v>78</v>
      </c>
      <c r="R4" s="46" t="s">
        <v>79</v>
      </c>
      <c r="S4" s="46" t="s">
        <v>80</v>
      </c>
      <c r="T4" s="46" t="s">
        <v>81</v>
      </c>
      <c r="U4" s="46" t="s">
        <v>82</v>
      </c>
      <c r="V4" s="46" t="s">
        <v>83</v>
      </c>
      <c r="W4" s="46" t="s">
        <v>84</v>
      </c>
      <c r="X4" s="100" t="s">
        <v>74</v>
      </c>
      <c r="Y4" s="105" t="s">
        <v>13</v>
      </c>
    </row>
    <row r="5" spans="2:25">
      <c r="B5" s="2"/>
      <c r="C5" s="616">
        <v>1</v>
      </c>
      <c r="D5" s="617" t="s">
        <v>22</v>
      </c>
      <c r="E5" s="617" t="s">
        <v>85</v>
      </c>
      <c r="F5" s="73" t="s">
        <v>86</v>
      </c>
      <c r="G5" s="74">
        <v>100</v>
      </c>
      <c r="H5" s="74">
        <v>100</v>
      </c>
      <c r="I5" s="74">
        <v>200</v>
      </c>
      <c r="J5" s="74">
        <v>200</v>
      </c>
      <c r="K5" s="74">
        <v>300</v>
      </c>
      <c r="L5" s="106">
        <f>SUM(G5:K5)</f>
        <v>900</v>
      </c>
      <c r="M5" s="74">
        <v>0</v>
      </c>
      <c r="N5" s="74">
        <v>300</v>
      </c>
      <c r="O5" s="74">
        <v>300</v>
      </c>
      <c r="P5" s="74">
        <v>300</v>
      </c>
      <c r="Q5" s="74">
        <v>300</v>
      </c>
      <c r="R5" s="74">
        <v>300</v>
      </c>
      <c r="S5" s="74">
        <v>300</v>
      </c>
      <c r="T5" s="74">
        <v>300</v>
      </c>
      <c r="U5" s="74">
        <v>300</v>
      </c>
      <c r="V5" s="74">
        <v>300</v>
      </c>
      <c r="W5" s="74">
        <v>300</v>
      </c>
      <c r="X5" s="74">
        <v>300</v>
      </c>
      <c r="Y5" s="106">
        <f>SUM(M5:X5)</f>
        <v>3300</v>
      </c>
    </row>
    <row r="6" spans="2:25">
      <c r="B6" s="2"/>
      <c r="C6" s="597"/>
      <c r="D6" s="605"/>
      <c r="E6" s="605"/>
      <c r="F6" s="63" t="s">
        <v>87</v>
      </c>
      <c r="G6" s="43">
        <v>104</v>
      </c>
      <c r="H6" s="43"/>
      <c r="I6" s="43"/>
      <c r="J6" s="43"/>
      <c r="K6" s="43"/>
      <c r="L6" s="107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107"/>
    </row>
    <row r="7" spans="2:25">
      <c r="B7" s="2"/>
      <c r="C7" s="596">
        <v>2</v>
      </c>
      <c r="D7" s="604" t="s">
        <v>88</v>
      </c>
      <c r="E7" s="131" t="s">
        <v>89</v>
      </c>
      <c r="F7" s="42" t="s">
        <v>86</v>
      </c>
      <c r="G7" s="35">
        <v>0</v>
      </c>
      <c r="H7" s="35">
        <v>50</v>
      </c>
      <c r="I7" s="35">
        <v>50</v>
      </c>
      <c r="J7" s="35">
        <v>100</v>
      </c>
      <c r="K7" s="35">
        <v>100</v>
      </c>
      <c r="L7" s="108">
        <f t="shared" ref="L7:L17" si="0">SUM(G7:K7)</f>
        <v>300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50</v>
      </c>
      <c r="U7" s="35">
        <v>100</v>
      </c>
      <c r="V7" s="35">
        <v>100</v>
      </c>
      <c r="W7" s="35">
        <v>150</v>
      </c>
      <c r="X7" s="35">
        <v>200</v>
      </c>
      <c r="Y7" s="108">
        <f>SUM(M7:X7)</f>
        <v>600</v>
      </c>
    </row>
    <row r="8" spans="2:25">
      <c r="B8" s="2"/>
      <c r="C8" s="597"/>
      <c r="D8" s="605"/>
      <c r="E8" s="43" t="s">
        <v>90</v>
      </c>
      <c r="F8" s="63" t="s">
        <v>87</v>
      </c>
      <c r="G8" s="35"/>
      <c r="H8" s="35"/>
      <c r="I8" s="35"/>
      <c r="J8" s="35"/>
      <c r="K8" s="35"/>
      <c r="L8" s="108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108"/>
    </row>
    <row r="9" spans="2:25">
      <c r="B9" s="2"/>
      <c r="C9" s="596">
        <v>3</v>
      </c>
      <c r="D9" s="604" t="s">
        <v>25</v>
      </c>
      <c r="E9" s="618" t="s">
        <v>91</v>
      </c>
      <c r="F9" s="42" t="s">
        <v>86</v>
      </c>
      <c r="G9" s="35">
        <v>0</v>
      </c>
      <c r="H9" s="35">
        <v>150</v>
      </c>
      <c r="I9" s="35">
        <v>150</v>
      </c>
      <c r="J9" s="35">
        <v>0</v>
      </c>
      <c r="K9" s="35">
        <v>0</v>
      </c>
      <c r="L9" s="108">
        <f t="shared" si="0"/>
        <v>300</v>
      </c>
      <c r="M9" s="35">
        <v>200</v>
      </c>
      <c r="N9" s="35">
        <v>200</v>
      </c>
      <c r="O9" s="35">
        <v>200</v>
      </c>
      <c r="P9" s="35">
        <v>200</v>
      </c>
      <c r="Q9" s="35">
        <v>200</v>
      </c>
      <c r="R9" s="35">
        <v>200</v>
      </c>
      <c r="S9" s="35">
        <v>200</v>
      </c>
      <c r="T9" s="35">
        <v>200</v>
      </c>
      <c r="U9" s="35">
        <v>200</v>
      </c>
      <c r="V9" s="35">
        <v>200</v>
      </c>
      <c r="W9" s="35">
        <v>200</v>
      </c>
      <c r="X9" s="35">
        <v>200</v>
      </c>
      <c r="Y9" s="108">
        <f>SUM(M9:X9)</f>
        <v>2400</v>
      </c>
    </row>
    <row r="10" spans="2:25">
      <c r="B10" s="2"/>
      <c r="C10" s="597"/>
      <c r="D10" s="605"/>
      <c r="E10" s="605"/>
      <c r="F10" s="63" t="s">
        <v>87</v>
      </c>
      <c r="G10" s="72">
        <v>3</v>
      </c>
      <c r="H10" s="69">
        <v>74</v>
      </c>
      <c r="I10" s="69">
        <v>109</v>
      </c>
      <c r="J10" s="72">
        <v>150</v>
      </c>
      <c r="K10" s="72">
        <v>446</v>
      </c>
      <c r="L10" s="172">
        <f>SUM(G10:K10)</f>
        <v>782</v>
      </c>
      <c r="M10" s="72">
        <v>447</v>
      </c>
      <c r="N10" s="72">
        <v>66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108"/>
    </row>
    <row r="11" spans="2:25">
      <c r="B11" s="2"/>
      <c r="C11" s="61">
        <v>4</v>
      </c>
      <c r="D11" s="604" t="s">
        <v>27</v>
      </c>
      <c r="E11" s="604" t="s">
        <v>90</v>
      </c>
      <c r="F11" s="42" t="s">
        <v>86</v>
      </c>
      <c r="G11" s="35">
        <v>0</v>
      </c>
      <c r="H11" s="35">
        <v>50</v>
      </c>
      <c r="I11" s="35">
        <v>50</v>
      </c>
      <c r="J11" s="35">
        <v>50</v>
      </c>
      <c r="K11" s="35">
        <v>50</v>
      </c>
      <c r="L11" s="108">
        <f t="shared" si="0"/>
        <v>200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108">
        <f>SUM(M11:X11)</f>
        <v>0</v>
      </c>
    </row>
    <row r="12" spans="2:25">
      <c r="B12" s="2"/>
      <c r="C12" s="41"/>
      <c r="D12" s="605"/>
      <c r="E12" s="605"/>
      <c r="F12" s="63" t="s">
        <v>87</v>
      </c>
      <c r="G12" s="35"/>
      <c r="H12" s="35"/>
      <c r="I12" s="35"/>
      <c r="J12" s="35"/>
      <c r="K12" s="35"/>
      <c r="L12" s="108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108"/>
    </row>
    <row r="13" spans="2:25">
      <c r="B13" s="2"/>
      <c r="C13" s="596">
        <v>5</v>
      </c>
      <c r="D13" s="604" t="s">
        <v>28</v>
      </c>
      <c r="E13" s="604" t="s">
        <v>92</v>
      </c>
      <c r="F13" s="42" t="s">
        <v>86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108">
        <f t="shared" si="0"/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108">
        <f>SUM(M13:X13)</f>
        <v>0</v>
      </c>
    </row>
    <row r="14" spans="2:25">
      <c r="B14" s="2"/>
      <c r="C14" s="597"/>
      <c r="D14" s="605"/>
      <c r="E14" s="605"/>
      <c r="F14" s="63" t="s">
        <v>87</v>
      </c>
      <c r="G14" s="35"/>
      <c r="H14" s="35"/>
      <c r="I14" s="35"/>
      <c r="J14" s="35"/>
      <c r="K14" s="35"/>
      <c r="L14" s="108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108"/>
    </row>
    <row r="15" spans="2:25">
      <c r="B15" s="2"/>
      <c r="C15" s="596">
        <v>6</v>
      </c>
      <c r="D15" s="604" t="s">
        <v>29</v>
      </c>
      <c r="E15" s="604" t="s">
        <v>93</v>
      </c>
      <c r="F15" s="42" t="s">
        <v>86</v>
      </c>
      <c r="G15" s="35">
        <v>0</v>
      </c>
      <c r="H15" s="35">
        <v>50</v>
      </c>
      <c r="I15" s="35">
        <v>100</v>
      </c>
      <c r="J15" s="35">
        <v>100</v>
      </c>
      <c r="K15" s="35">
        <v>100</v>
      </c>
      <c r="L15" s="108">
        <f t="shared" si="0"/>
        <v>350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108">
        <f>SUM(M15:X15)</f>
        <v>0</v>
      </c>
    </row>
    <row r="16" spans="2:25">
      <c r="B16" s="2"/>
      <c r="C16" s="597"/>
      <c r="D16" s="605"/>
      <c r="E16" s="605"/>
      <c r="F16" s="63" t="s">
        <v>87</v>
      </c>
      <c r="G16" s="72">
        <v>27</v>
      </c>
      <c r="H16" s="35"/>
      <c r="I16" s="35"/>
      <c r="J16" s="35"/>
      <c r="K16" s="35"/>
      <c r="L16" s="108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108"/>
    </row>
    <row r="17" spans="2:25">
      <c r="B17" s="2"/>
      <c r="C17" s="61">
        <v>7</v>
      </c>
      <c r="D17" s="604" t="s">
        <v>30</v>
      </c>
      <c r="E17" s="131" t="s">
        <v>94</v>
      </c>
      <c r="F17" s="42" t="s">
        <v>86</v>
      </c>
      <c r="G17" s="35">
        <v>0</v>
      </c>
      <c r="H17" s="35">
        <v>0</v>
      </c>
      <c r="I17" s="35">
        <v>0</v>
      </c>
      <c r="J17" s="35">
        <v>0</v>
      </c>
      <c r="K17" s="35">
        <v>150</v>
      </c>
      <c r="L17" s="108">
        <f t="shared" si="0"/>
        <v>150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108">
        <f>SUM(M17:X17)</f>
        <v>0</v>
      </c>
    </row>
    <row r="18" spans="2:25">
      <c r="B18" s="2"/>
      <c r="C18" s="41"/>
      <c r="D18" s="605"/>
      <c r="E18" s="43" t="s">
        <v>95</v>
      </c>
      <c r="F18" s="63" t="s">
        <v>87</v>
      </c>
      <c r="G18" s="35"/>
      <c r="H18" s="35"/>
      <c r="I18" s="35"/>
      <c r="J18" s="35"/>
      <c r="K18" s="35"/>
      <c r="L18" s="108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108"/>
    </row>
    <row r="19" spans="2:25">
      <c r="B19" s="2"/>
      <c r="C19" s="61">
        <v>8</v>
      </c>
      <c r="D19" s="604" t="s">
        <v>31</v>
      </c>
      <c r="E19" s="619" t="s">
        <v>96</v>
      </c>
      <c r="F19" s="42" t="s">
        <v>86</v>
      </c>
      <c r="G19" s="35">
        <v>100</v>
      </c>
      <c r="H19" s="35">
        <v>150</v>
      </c>
      <c r="I19" s="35">
        <v>150</v>
      </c>
      <c r="J19" s="35">
        <v>150</v>
      </c>
      <c r="K19" s="35">
        <v>200</v>
      </c>
      <c r="L19" s="108">
        <f>SUM(G19:K19)</f>
        <v>750</v>
      </c>
      <c r="M19" s="35">
        <v>100</v>
      </c>
      <c r="N19" s="35">
        <v>100</v>
      </c>
      <c r="O19" s="35">
        <v>150</v>
      </c>
      <c r="P19" s="35">
        <v>150</v>
      </c>
      <c r="Q19" s="35">
        <v>150</v>
      </c>
      <c r="R19" s="35">
        <v>200</v>
      </c>
      <c r="S19" s="35">
        <v>200</v>
      </c>
      <c r="T19" s="35">
        <v>200</v>
      </c>
      <c r="U19" s="35">
        <v>200</v>
      </c>
      <c r="V19" s="35">
        <v>200</v>
      </c>
      <c r="W19" s="35">
        <v>200</v>
      </c>
      <c r="X19" s="35">
        <v>200</v>
      </c>
      <c r="Y19" s="108">
        <f>SUM(M19:X19)</f>
        <v>2050</v>
      </c>
    </row>
    <row r="20" spans="2:25">
      <c r="B20" s="2"/>
      <c r="C20" s="41"/>
      <c r="D20" s="605"/>
      <c r="E20" s="619"/>
      <c r="F20" s="64" t="s">
        <v>87</v>
      </c>
      <c r="G20" s="62">
        <v>100</v>
      </c>
      <c r="H20" s="68">
        <v>150</v>
      </c>
      <c r="I20" s="98"/>
      <c r="J20" s="72">
        <v>125</v>
      </c>
      <c r="K20" s="62"/>
      <c r="L20" s="109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109"/>
    </row>
    <row r="21" spans="2:25">
      <c r="B21" s="2"/>
      <c r="C21" s="61">
        <v>9</v>
      </c>
      <c r="D21" s="604" t="s">
        <v>68</v>
      </c>
      <c r="E21" s="619" t="s">
        <v>97</v>
      </c>
      <c r="F21" s="34" t="s">
        <v>86</v>
      </c>
      <c r="G21" s="606" t="s">
        <v>98</v>
      </c>
      <c r="H21" s="607"/>
      <c r="I21" s="608"/>
      <c r="J21" s="35"/>
      <c r="K21" s="35"/>
      <c r="L21" s="108"/>
      <c r="M21" s="35">
        <v>150</v>
      </c>
      <c r="N21" s="35">
        <v>200</v>
      </c>
      <c r="O21" s="35">
        <v>200</v>
      </c>
      <c r="P21" s="35">
        <v>200</v>
      </c>
      <c r="Q21" s="35">
        <v>200</v>
      </c>
      <c r="R21" s="35">
        <v>200</v>
      </c>
      <c r="S21" s="35">
        <v>200</v>
      </c>
      <c r="T21" s="35">
        <v>200</v>
      </c>
      <c r="U21" s="35">
        <v>200</v>
      </c>
      <c r="V21" s="35">
        <v>200</v>
      </c>
      <c r="W21" s="35">
        <v>200</v>
      </c>
      <c r="X21" s="35">
        <v>200</v>
      </c>
      <c r="Y21" s="108">
        <f>SUM(M21:X21)</f>
        <v>2350</v>
      </c>
    </row>
    <row r="22" spans="2:25">
      <c r="B22" s="2"/>
      <c r="C22" s="66"/>
      <c r="D22" s="540"/>
      <c r="E22" s="619"/>
      <c r="F22" s="67" t="s">
        <v>99</v>
      </c>
      <c r="G22" s="609"/>
      <c r="H22" s="610"/>
      <c r="I22" s="611"/>
      <c r="J22" s="35"/>
      <c r="K22" s="35"/>
      <c r="L22" s="108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108"/>
    </row>
    <row r="23" spans="2:25">
      <c r="B23" s="2"/>
      <c r="C23" s="596">
        <v>10</v>
      </c>
      <c r="D23" s="598" t="s">
        <v>69</v>
      </c>
      <c r="E23" s="603" t="s">
        <v>100</v>
      </c>
      <c r="F23" s="78" t="s">
        <v>86</v>
      </c>
      <c r="G23" s="612" t="s">
        <v>101</v>
      </c>
      <c r="H23" s="613"/>
      <c r="I23" s="614"/>
      <c r="J23" s="35"/>
      <c r="K23" s="35"/>
      <c r="L23" s="108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108"/>
    </row>
    <row r="24" spans="2:25">
      <c r="B24" s="2"/>
      <c r="C24" s="597"/>
      <c r="D24" s="599"/>
      <c r="E24" s="603"/>
      <c r="F24" s="79" t="s">
        <v>99</v>
      </c>
      <c r="G24" s="612"/>
      <c r="H24" s="613"/>
      <c r="I24" s="614"/>
      <c r="J24" s="35"/>
      <c r="K24" s="35"/>
      <c r="L24" s="108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108"/>
    </row>
    <row r="25" spans="2:25">
      <c r="B25" s="2"/>
      <c r="C25" s="596">
        <v>11</v>
      </c>
      <c r="D25" s="598" t="s">
        <v>70</v>
      </c>
      <c r="E25" s="603"/>
      <c r="F25" s="78" t="s">
        <v>86</v>
      </c>
      <c r="G25" s="80"/>
      <c r="H25" s="81"/>
      <c r="I25" s="82"/>
      <c r="J25" s="35"/>
      <c r="K25" s="35"/>
      <c r="L25" s="108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108"/>
    </row>
    <row r="26" spans="2:25">
      <c r="B26" s="2"/>
      <c r="C26" s="597"/>
      <c r="D26" s="599"/>
      <c r="E26" s="598"/>
      <c r="F26" s="79" t="s">
        <v>99</v>
      </c>
      <c r="G26" s="83"/>
      <c r="H26" s="84"/>
      <c r="I26" s="85"/>
      <c r="J26" s="62"/>
      <c r="K26" s="62"/>
      <c r="L26" s="109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109"/>
    </row>
    <row r="27" spans="2:25">
      <c r="B27" s="2"/>
      <c r="C27" s="596"/>
      <c r="D27" s="601" t="s">
        <v>32</v>
      </c>
      <c r="E27" s="112"/>
      <c r="F27" s="65" t="s">
        <v>86</v>
      </c>
      <c r="G27" s="12">
        <f t="shared" ref="G27:I27" si="1">G5+G7+G9+G11+G13+G15+G17+G19</f>
        <v>200</v>
      </c>
      <c r="H27" s="12">
        <f t="shared" si="1"/>
        <v>550</v>
      </c>
      <c r="I27" s="12">
        <f t="shared" si="1"/>
        <v>700</v>
      </c>
      <c r="J27" s="12">
        <f t="shared" ref="J27:X28" si="2">J5+J7+J9+J11+J13+J15+J17+J19+J21+J23</f>
        <v>600</v>
      </c>
      <c r="K27" s="12">
        <f t="shared" si="2"/>
        <v>900</v>
      </c>
      <c r="L27" s="76">
        <f>SUM(G27:K27)</f>
        <v>2950</v>
      </c>
      <c r="M27" s="103">
        <f t="shared" si="2"/>
        <v>450</v>
      </c>
      <c r="N27" s="103">
        <f t="shared" si="2"/>
        <v>800</v>
      </c>
      <c r="O27" s="103">
        <f t="shared" si="2"/>
        <v>850</v>
      </c>
      <c r="P27" s="103">
        <f t="shared" si="2"/>
        <v>850</v>
      </c>
      <c r="Q27" s="103">
        <f t="shared" si="2"/>
        <v>850</v>
      </c>
      <c r="R27" s="103">
        <f t="shared" si="2"/>
        <v>900</v>
      </c>
      <c r="S27" s="103">
        <f t="shared" si="2"/>
        <v>900</v>
      </c>
      <c r="T27" s="103">
        <f t="shared" si="2"/>
        <v>950</v>
      </c>
      <c r="U27" s="103">
        <f t="shared" si="2"/>
        <v>1000</v>
      </c>
      <c r="V27" s="103">
        <f t="shared" si="2"/>
        <v>1000</v>
      </c>
      <c r="W27" s="103">
        <f>W5+W7+W9+W11+W13+W15+W17+W19+W21+W23</f>
        <v>1050</v>
      </c>
      <c r="X27" s="101">
        <f>X5+X7+X9+X11+X13+X15+X17+X19+X21+X23</f>
        <v>1100</v>
      </c>
      <c r="Y27" s="76">
        <f>SUM(S27:X27)</f>
        <v>6000</v>
      </c>
    </row>
    <row r="28" spans="2:25" ht="20.25" thickBot="1">
      <c r="B28" s="2"/>
      <c r="C28" s="600"/>
      <c r="D28" s="602"/>
      <c r="E28" s="132"/>
      <c r="F28" s="75" t="s">
        <v>87</v>
      </c>
      <c r="G28" s="14">
        <f>G6+G8+G10+G12+G14+G16+G18+G20</f>
        <v>234</v>
      </c>
      <c r="H28" s="14">
        <f>H6+H8+H10+H12+H14+H16+H18+H20</f>
        <v>224</v>
      </c>
      <c r="I28" s="14">
        <f>I6+I8+I10+I12+I14+I16+I18+I20</f>
        <v>109</v>
      </c>
      <c r="J28" s="14">
        <f>J6+J8+J10+J12+J14+J16+J18+J20+J22+J24</f>
        <v>275</v>
      </c>
      <c r="K28" s="14">
        <f>K6+K8+K10+K12+K14+K16+K18+K20+K22+K24</f>
        <v>446</v>
      </c>
      <c r="L28" s="77">
        <f>SUM(G28:K28)</f>
        <v>1288</v>
      </c>
      <c r="M28" s="104">
        <f t="shared" si="2"/>
        <v>447</v>
      </c>
      <c r="N28" s="104">
        <f t="shared" si="2"/>
        <v>66</v>
      </c>
      <c r="O28" s="104">
        <f t="shared" si="2"/>
        <v>0</v>
      </c>
      <c r="P28" s="104">
        <f t="shared" si="2"/>
        <v>0</v>
      </c>
      <c r="Q28" s="104">
        <f t="shared" si="2"/>
        <v>0</v>
      </c>
      <c r="R28" s="104">
        <f t="shared" si="2"/>
        <v>0</v>
      </c>
      <c r="S28" s="104">
        <f t="shared" si="2"/>
        <v>0</v>
      </c>
      <c r="T28" s="104">
        <f t="shared" si="2"/>
        <v>0</v>
      </c>
      <c r="U28" s="104">
        <f t="shared" si="2"/>
        <v>0</v>
      </c>
      <c r="V28" s="104">
        <f t="shared" si="2"/>
        <v>0</v>
      </c>
      <c r="W28" s="104">
        <f t="shared" si="2"/>
        <v>0</v>
      </c>
      <c r="X28" s="102">
        <f t="shared" si="2"/>
        <v>0</v>
      </c>
      <c r="Y28" s="77">
        <f>SUM(S28:X28)</f>
        <v>0</v>
      </c>
    </row>
    <row r="30" spans="2:25">
      <c r="G30" s="594" t="s">
        <v>86</v>
      </c>
      <c r="H30" s="594"/>
      <c r="I30" s="594"/>
      <c r="J30" s="595" t="s">
        <v>87</v>
      </c>
      <c r="K30" s="595"/>
      <c r="L30" s="595"/>
      <c r="T30" s="594" t="s">
        <v>86</v>
      </c>
      <c r="U30" s="594"/>
      <c r="V30" s="594"/>
      <c r="W30" s="595" t="s">
        <v>87</v>
      </c>
      <c r="X30" s="595"/>
      <c r="Y30" s="595"/>
    </row>
    <row r="31" spans="2:25" ht="19.149999999999999" customHeight="1">
      <c r="D31" s="590" t="s">
        <v>102</v>
      </c>
      <c r="E31" s="591"/>
      <c r="F31" s="592"/>
      <c r="G31" s="587">
        <f>SUM(G27:K27)</f>
        <v>2950</v>
      </c>
      <c r="H31" s="588"/>
      <c r="I31" s="589"/>
      <c r="J31" s="587">
        <f>SUM(G28:K28)</f>
        <v>1288</v>
      </c>
      <c r="K31" s="588"/>
      <c r="L31" s="589"/>
      <c r="N31" s="593" t="s">
        <v>103</v>
      </c>
      <c r="O31" s="593"/>
      <c r="P31" s="593"/>
      <c r="Q31" s="593"/>
      <c r="R31" s="593"/>
      <c r="S31" s="593"/>
      <c r="T31" s="587">
        <f>SUM(T27:X27)</f>
        <v>5100</v>
      </c>
      <c r="U31" s="588"/>
      <c r="V31" s="589"/>
      <c r="W31" s="587">
        <f>SUM(M28:X28)</f>
        <v>513</v>
      </c>
      <c r="X31" s="588"/>
      <c r="Y31" s="589"/>
    </row>
    <row r="32" spans="2:25">
      <c r="D32" s="590" t="s">
        <v>35</v>
      </c>
      <c r="E32" s="591"/>
      <c r="F32" s="592"/>
      <c r="G32" s="587">
        <f>G31*1800</f>
        <v>5310000</v>
      </c>
      <c r="H32" s="588"/>
      <c r="I32" s="589"/>
      <c r="J32" s="587">
        <f>J31*1800</f>
        <v>2318400</v>
      </c>
      <c r="K32" s="588"/>
      <c r="L32" s="589"/>
      <c r="N32" s="593" t="s">
        <v>35</v>
      </c>
      <c r="O32" s="593"/>
      <c r="P32" s="593"/>
      <c r="Q32" s="593"/>
      <c r="R32" s="593"/>
      <c r="S32" s="593"/>
      <c r="T32" s="587">
        <f>T31*1800</f>
        <v>9180000</v>
      </c>
      <c r="U32" s="588"/>
      <c r="V32" s="589"/>
      <c r="W32" s="587">
        <f>W31*1800</f>
        <v>923400</v>
      </c>
      <c r="X32" s="588"/>
      <c r="Y32" s="589"/>
    </row>
    <row r="33" spans="4:25">
      <c r="D33" s="590" t="s">
        <v>36</v>
      </c>
      <c r="E33" s="591"/>
      <c r="F33" s="592"/>
      <c r="G33" s="587">
        <v>165</v>
      </c>
      <c r="H33" s="588"/>
      <c r="I33" s="589"/>
      <c r="J33" s="587">
        <v>165</v>
      </c>
      <c r="K33" s="588"/>
      <c r="L33" s="589"/>
      <c r="N33" s="593" t="s">
        <v>36</v>
      </c>
      <c r="O33" s="593"/>
      <c r="P33" s="593"/>
      <c r="Q33" s="593"/>
      <c r="R33" s="593"/>
      <c r="S33" s="593"/>
      <c r="T33" s="587">
        <v>165</v>
      </c>
      <c r="U33" s="588"/>
      <c r="V33" s="589"/>
      <c r="W33" s="587">
        <v>165</v>
      </c>
      <c r="X33" s="588"/>
      <c r="Y33" s="589"/>
    </row>
    <row r="34" spans="4:25">
      <c r="D34" s="590" t="s">
        <v>37</v>
      </c>
      <c r="E34" s="591"/>
      <c r="F34" s="592"/>
      <c r="G34" s="587">
        <f>G32*G33</f>
        <v>876150000</v>
      </c>
      <c r="H34" s="588"/>
      <c r="I34" s="589"/>
      <c r="J34" s="587">
        <f>J32*J33</f>
        <v>382536000</v>
      </c>
      <c r="K34" s="588"/>
      <c r="L34" s="589"/>
      <c r="N34" s="593" t="s">
        <v>37</v>
      </c>
      <c r="O34" s="593"/>
      <c r="P34" s="593"/>
      <c r="Q34" s="593"/>
      <c r="R34" s="593"/>
      <c r="S34" s="593"/>
      <c r="T34" s="587">
        <f>T32*T33</f>
        <v>1514700000</v>
      </c>
      <c r="U34" s="588"/>
      <c r="V34" s="589"/>
      <c r="W34" s="587">
        <f>W32*W33</f>
        <v>152361000</v>
      </c>
      <c r="X34" s="588"/>
      <c r="Y34" s="589"/>
    </row>
  </sheetData>
  <mergeCells count="61">
    <mergeCell ref="E11:E12"/>
    <mergeCell ref="E15:E16"/>
    <mergeCell ref="E19:E20"/>
    <mergeCell ref="E21:E22"/>
    <mergeCell ref="E23:E24"/>
    <mergeCell ref="C15:C16"/>
    <mergeCell ref="D15:D16"/>
    <mergeCell ref="C2:M2"/>
    <mergeCell ref="J3:M3"/>
    <mergeCell ref="C5:C6"/>
    <mergeCell ref="D5:D6"/>
    <mergeCell ref="C7:C8"/>
    <mergeCell ref="D7:D8"/>
    <mergeCell ref="C9:C10"/>
    <mergeCell ref="D9:D10"/>
    <mergeCell ref="D11:D12"/>
    <mergeCell ref="C13:C14"/>
    <mergeCell ref="D13:D14"/>
    <mergeCell ref="E9:E10"/>
    <mergeCell ref="E5:E6"/>
    <mergeCell ref="E13:E14"/>
    <mergeCell ref="D17:D18"/>
    <mergeCell ref="D19:D20"/>
    <mergeCell ref="D21:D22"/>
    <mergeCell ref="G21:I22"/>
    <mergeCell ref="C23:C24"/>
    <mergeCell ref="D23:D24"/>
    <mergeCell ref="G23:I24"/>
    <mergeCell ref="C25:C26"/>
    <mergeCell ref="D25:D26"/>
    <mergeCell ref="C27:C28"/>
    <mergeCell ref="D27:D28"/>
    <mergeCell ref="G30:I30"/>
    <mergeCell ref="E25:E26"/>
    <mergeCell ref="W32:Y32"/>
    <mergeCell ref="T30:V30"/>
    <mergeCell ref="W30:Y30"/>
    <mergeCell ref="D31:F31"/>
    <mergeCell ref="G31:I31"/>
    <mergeCell ref="J31:L31"/>
    <mergeCell ref="N31:S31"/>
    <mergeCell ref="T31:V31"/>
    <mergeCell ref="W31:Y31"/>
    <mergeCell ref="J30:L30"/>
    <mergeCell ref="D32:F32"/>
    <mergeCell ref="G32:I32"/>
    <mergeCell ref="J32:L32"/>
    <mergeCell ref="N32:S32"/>
    <mergeCell ref="T32:V32"/>
    <mergeCell ref="W34:Y34"/>
    <mergeCell ref="D33:F33"/>
    <mergeCell ref="G33:I33"/>
    <mergeCell ref="J33:L33"/>
    <mergeCell ref="N33:S33"/>
    <mergeCell ref="T33:V33"/>
    <mergeCell ref="W33:Y33"/>
    <mergeCell ref="D34:F34"/>
    <mergeCell ref="G34:I34"/>
    <mergeCell ref="J34:L34"/>
    <mergeCell ref="N34:S34"/>
    <mergeCell ref="T34:V34"/>
  </mergeCells>
  <phoneticPr fontId="10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39A6-045C-4C70-AA96-7D57AF17B056}">
  <sheetPr codeName="Sheet5"/>
  <dimension ref="B1:AB428"/>
  <sheetViews>
    <sheetView showGridLines="0" topLeftCell="A3" zoomScale="85" zoomScaleNormal="85" workbookViewId="0">
      <selection activeCell="R14" sqref="R14"/>
    </sheetView>
  </sheetViews>
  <sheetFormatPr defaultColWidth="8.85546875" defaultRowHeight="19.5"/>
  <cols>
    <col min="1" max="2" width="8.85546875" style="1"/>
    <col min="3" max="3" width="4.5703125" style="1" bestFit="1" customWidth="1"/>
    <col min="4" max="4" width="13.42578125" style="1" bestFit="1" customWidth="1"/>
    <col min="5" max="5" width="17.140625" style="1" customWidth="1"/>
    <col min="6" max="6" width="9.5703125" style="1" customWidth="1"/>
    <col min="7" max="7" width="7.140625" style="1" customWidth="1"/>
    <col min="8" max="9" width="5.42578125" style="1" hidden="1" customWidth="1"/>
    <col min="10" max="12" width="6.28515625" style="1" hidden="1" customWidth="1"/>
    <col min="13" max="13" width="11.42578125" style="110" hidden="1" customWidth="1"/>
    <col min="14" max="14" width="9.140625" style="1" customWidth="1"/>
    <col min="15" max="19" width="8.85546875" style="1" customWidth="1"/>
    <col min="20" max="20" width="11.42578125" style="110" hidden="1" customWidth="1"/>
    <col min="21" max="21" width="8.42578125" style="1" bestFit="1" customWidth="1"/>
    <col min="22" max="22" width="9.85546875" style="1" customWidth="1"/>
    <col min="23" max="23" width="9.28515625" style="1" customWidth="1"/>
    <col min="24" max="24" width="9.42578125" style="1" customWidth="1"/>
    <col min="25" max="25" width="8.5703125" style="1" customWidth="1"/>
    <col min="26" max="26" width="8.7109375" style="1" customWidth="1"/>
    <col min="27" max="27" width="11.42578125" style="110" customWidth="1"/>
    <col min="28" max="32" width="8.85546875" style="1"/>
    <col min="33" max="33" width="10" style="1" bestFit="1" customWidth="1"/>
    <col min="34" max="16384" width="8.85546875" style="1"/>
  </cols>
  <sheetData>
    <row r="1" spans="2:28"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2:28" ht="38.25">
      <c r="C2" s="551" t="s">
        <v>71</v>
      </c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99"/>
      <c r="P2" s="99"/>
      <c r="Q2" s="99"/>
      <c r="R2" s="99"/>
      <c r="S2" s="140"/>
      <c r="T2" s="139"/>
      <c r="U2" s="140"/>
      <c r="V2" s="140"/>
      <c r="W2" s="140"/>
      <c r="X2" s="140"/>
      <c r="Y2" s="140"/>
      <c r="Z2" s="139"/>
      <c r="AA2" s="139"/>
      <c r="AB2" s="139"/>
    </row>
    <row r="3" spans="2:28" ht="20.25" thickBot="1">
      <c r="K3" s="637" t="s">
        <v>104</v>
      </c>
      <c r="L3" s="637"/>
      <c r="M3" s="637"/>
      <c r="N3" s="637"/>
      <c r="O3" s="637"/>
      <c r="P3" s="637"/>
      <c r="Q3" s="637"/>
      <c r="R3" s="637"/>
      <c r="S3" s="139"/>
      <c r="T3" s="139" t="s">
        <v>105</v>
      </c>
      <c r="U3" s="139"/>
      <c r="V3" s="139"/>
      <c r="W3" s="139"/>
      <c r="X3" s="139"/>
      <c r="Y3" s="139"/>
      <c r="Z3" s="139"/>
      <c r="AA3" s="139"/>
      <c r="AB3" s="139"/>
    </row>
    <row r="4" spans="2:28" ht="38.25" customHeight="1" thickBot="1">
      <c r="C4" s="45" t="s">
        <v>73</v>
      </c>
      <c r="D4" s="46" t="s">
        <v>7</v>
      </c>
      <c r="E4" s="46" t="s">
        <v>106</v>
      </c>
      <c r="F4" s="134" t="s">
        <v>107</v>
      </c>
      <c r="G4" s="46"/>
      <c r="H4" s="46" t="s">
        <v>8</v>
      </c>
      <c r="I4" s="46" t="s">
        <v>9</v>
      </c>
      <c r="J4" s="46" t="s">
        <v>10</v>
      </c>
      <c r="K4" s="46" t="s">
        <v>11</v>
      </c>
      <c r="L4" s="46" t="s">
        <v>74</v>
      </c>
      <c r="M4" s="105" t="s">
        <v>13</v>
      </c>
      <c r="N4" s="46" t="s">
        <v>14</v>
      </c>
      <c r="O4" s="46" t="s">
        <v>75</v>
      </c>
      <c r="P4" s="46" t="s">
        <v>76</v>
      </c>
      <c r="Q4" s="46" t="s">
        <v>77</v>
      </c>
      <c r="R4" s="46" t="s">
        <v>78</v>
      </c>
      <c r="S4" s="46" t="s">
        <v>79</v>
      </c>
      <c r="T4" s="148" t="s">
        <v>13</v>
      </c>
      <c r="U4" s="145" t="s">
        <v>80</v>
      </c>
      <c r="V4" s="46" t="s">
        <v>81</v>
      </c>
      <c r="W4" s="46" t="s">
        <v>82</v>
      </c>
      <c r="X4" s="46" t="s">
        <v>83</v>
      </c>
      <c r="Y4" s="46" t="s">
        <v>84</v>
      </c>
      <c r="Z4" s="163" t="s">
        <v>74</v>
      </c>
      <c r="AA4" s="148" t="s">
        <v>13</v>
      </c>
    </row>
    <row r="5" spans="2:28" ht="24.75" customHeight="1">
      <c r="B5" s="2"/>
      <c r="C5" s="616">
        <v>1</v>
      </c>
      <c r="D5" s="617" t="s">
        <v>22</v>
      </c>
      <c r="E5" s="635" t="s">
        <v>85</v>
      </c>
      <c r="F5" s="617" t="s">
        <v>108</v>
      </c>
      <c r="G5" s="74" t="s">
        <v>86</v>
      </c>
      <c r="H5" s="74">
        <v>100</v>
      </c>
      <c r="I5" s="74">
        <v>100</v>
      </c>
      <c r="J5" s="74">
        <v>200</v>
      </c>
      <c r="K5" s="74">
        <v>200</v>
      </c>
      <c r="L5" s="74">
        <v>300</v>
      </c>
      <c r="M5" s="106">
        <f>SUM(H5:L5)</f>
        <v>900</v>
      </c>
      <c r="N5" s="74">
        <v>0</v>
      </c>
      <c r="O5" s="74">
        <v>0</v>
      </c>
      <c r="P5" s="74">
        <v>200</v>
      </c>
      <c r="Q5" s="74">
        <v>200</v>
      </c>
      <c r="R5" s="74">
        <v>300</v>
      </c>
      <c r="S5" s="74">
        <v>375</v>
      </c>
      <c r="T5" s="149">
        <f t="shared" ref="T5:T22" si="0">SUM(N5:S5)</f>
        <v>1075</v>
      </c>
      <c r="U5" s="201">
        <v>300</v>
      </c>
      <c r="V5" s="74">
        <v>300</v>
      </c>
      <c r="W5" s="74">
        <v>300</v>
      </c>
      <c r="X5" s="74">
        <v>300</v>
      </c>
      <c r="Y5" s="74">
        <v>300</v>
      </c>
      <c r="Z5" s="142">
        <v>300</v>
      </c>
      <c r="AA5" s="149">
        <f t="shared" ref="AA5:AA24" si="1">SUM(T5:Z5)</f>
        <v>2875</v>
      </c>
    </row>
    <row r="6" spans="2:28">
      <c r="B6" s="2"/>
      <c r="C6" s="597"/>
      <c r="D6" s="605"/>
      <c r="E6" s="636"/>
      <c r="F6" s="605"/>
      <c r="G6" s="166" t="s">
        <v>87</v>
      </c>
      <c r="H6" s="43">
        <v>104</v>
      </c>
      <c r="I6" s="43"/>
      <c r="J6" s="43"/>
      <c r="K6" s="43"/>
      <c r="L6" s="43"/>
      <c r="M6" s="107"/>
      <c r="N6" s="173">
        <v>0</v>
      </c>
      <c r="O6" s="173">
        <v>0</v>
      </c>
      <c r="P6" s="173">
        <v>0</v>
      </c>
      <c r="Q6" s="173">
        <v>0</v>
      </c>
      <c r="R6" s="43">
        <v>0</v>
      </c>
      <c r="S6" s="43"/>
      <c r="T6" s="150">
        <f t="shared" si="0"/>
        <v>0</v>
      </c>
      <c r="U6" s="146"/>
      <c r="V6" s="43"/>
      <c r="W6" s="43"/>
      <c r="X6" s="43"/>
      <c r="Y6" s="43"/>
      <c r="Z6" s="44"/>
      <c r="AA6" s="150">
        <f t="shared" si="1"/>
        <v>0</v>
      </c>
    </row>
    <row r="7" spans="2:28" ht="25.5" customHeight="1">
      <c r="B7" s="2"/>
      <c r="C7" s="596">
        <v>2</v>
      </c>
      <c r="D7" s="604" t="s">
        <v>109</v>
      </c>
      <c r="E7" s="626" t="s">
        <v>96</v>
      </c>
      <c r="F7" s="540" t="s">
        <v>110</v>
      </c>
      <c r="G7" s="43" t="s">
        <v>86</v>
      </c>
      <c r="H7" s="35">
        <v>100</v>
      </c>
      <c r="I7" s="35">
        <v>150</v>
      </c>
      <c r="J7" s="35">
        <v>150</v>
      </c>
      <c r="K7" s="35">
        <v>150</v>
      </c>
      <c r="L7" s="35">
        <v>200</v>
      </c>
      <c r="M7" s="108">
        <f>SUM(H7:L7)</f>
        <v>750</v>
      </c>
      <c r="N7" s="35">
        <v>100</v>
      </c>
      <c r="O7" s="35">
        <v>50</v>
      </c>
      <c r="P7" s="35">
        <v>150</v>
      </c>
      <c r="Q7" s="35">
        <v>150</v>
      </c>
      <c r="R7" s="35">
        <v>150</v>
      </c>
      <c r="S7" s="35">
        <v>200</v>
      </c>
      <c r="T7" s="151">
        <f t="shared" si="0"/>
        <v>800</v>
      </c>
      <c r="U7" s="141">
        <v>200</v>
      </c>
      <c r="V7" s="35">
        <v>200</v>
      </c>
      <c r="W7" s="35">
        <v>200</v>
      </c>
      <c r="X7" s="35">
        <v>200</v>
      </c>
      <c r="Y7" s="35">
        <v>200</v>
      </c>
      <c r="Z7" s="39">
        <v>200</v>
      </c>
      <c r="AA7" s="151">
        <f t="shared" si="1"/>
        <v>2000</v>
      </c>
    </row>
    <row r="8" spans="2:28" ht="22.5" customHeight="1">
      <c r="B8" s="2"/>
      <c r="C8" s="597"/>
      <c r="D8" s="605"/>
      <c r="E8" s="626"/>
      <c r="F8" s="540"/>
      <c r="G8" s="167" t="s">
        <v>87</v>
      </c>
      <c r="H8" s="62">
        <v>100</v>
      </c>
      <c r="I8" s="68">
        <v>150</v>
      </c>
      <c r="J8" s="98"/>
      <c r="K8" s="72">
        <v>125</v>
      </c>
      <c r="L8" s="62"/>
      <c r="M8" s="109"/>
      <c r="N8" s="68">
        <v>0</v>
      </c>
      <c r="O8" s="68">
        <v>0</v>
      </c>
      <c r="P8" s="68">
        <v>0</v>
      </c>
      <c r="Q8" s="173">
        <v>0</v>
      </c>
      <c r="R8" s="62">
        <v>0</v>
      </c>
      <c r="S8" s="62"/>
      <c r="T8" s="150">
        <f t="shared" si="0"/>
        <v>0</v>
      </c>
      <c r="U8" s="147"/>
      <c r="V8" s="62"/>
      <c r="W8" s="62"/>
      <c r="X8" s="62"/>
      <c r="Y8" s="62"/>
      <c r="Z8" s="138"/>
      <c r="AA8" s="150">
        <f t="shared" si="1"/>
        <v>0</v>
      </c>
    </row>
    <row r="9" spans="2:28" ht="23.25" customHeight="1">
      <c r="B9" s="2"/>
      <c r="C9" s="596">
        <v>3</v>
      </c>
      <c r="D9" s="618" t="s">
        <v>111</v>
      </c>
      <c r="E9" s="137" t="s">
        <v>89</v>
      </c>
      <c r="F9" s="604" t="s">
        <v>112</v>
      </c>
      <c r="G9" s="35" t="s">
        <v>86</v>
      </c>
      <c r="H9" s="35">
        <v>0</v>
      </c>
      <c r="I9" s="35">
        <v>50</v>
      </c>
      <c r="J9" s="35">
        <v>50</v>
      </c>
      <c r="K9" s="35">
        <v>100</v>
      </c>
      <c r="L9" s="35">
        <v>100</v>
      </c>
      <c r="M9" s="108">
        <f t="shared" ref="M9:M13" si="2">SUM(H9:L9)</f>
        <v>300</v>
      </c>
      <c r="N9" s="35">
        <v>50</v>
      </c>
      <c r="O9" s="35">
        <v>0</v>
      </c>
      <c r="P9" s="35">
        <v>320</v>
      </c>
      <c r="Q9" s="35">
        <v>320</v>
      </c>
      <c r="R9" s="35">
        <v>320</v>
      </c>
      <c r="S9" s="35">
        <v>320</v>
      </c>
      <c r="T9" s="151">
        <f t="shared" si="0"/>
        <v>1330</v>
      </c>
      <c r="U9" s="141">
        <v>320</v>
      </c>
      <c r="V9" s="35">
        <v>50</v>
      </c>
      <c r="W9" s="35">
        <v>100</v>
      </c>
      <c r="X9" s="35">
        <v>100</v>
      </c>
      <c r="Y9" s="35">
        <v>150</v>
      </c>
      <c r="Z9" s="39">
        <v>200</v>
      </c>
      <c r="AA9" s="151">
        <f t="shared" si="1"/>
        <v>2250</v>
      </c>
    </row>
    <row r="10" spans="2:28" ht="23.25" customHeight="1">
      <c r="B10" s="2"/>
      <c r="C10" s="597"/>
      <c r="D10" s="605"/>
      <c r="E10" s="135" t="s">
        <v>90</v>
      </c>
      <c r="F10" s="540"/>
      <c r="G10" s="166" t="s">
        <v>87</v>
      </c>
      <c r="H10" s="35"/>
      <c r="I10" s="35"/>
      <c r="J10" s="35"/>
      <c r="K10" s="35"/>
      <c r="L10" s="35"/>
      <c r="M10" s="108"/>
      <c r="N10" s="133">
        <v>85.5</v>
      </c>
      <c r="O10" s="72">
        <v>0</v>
      </c>
      <c r="P10" s="133">
        <v>240</v>
      </c>
      <c r="Q10" s="72">
        <v>320</v>
      </c>
      <c r="R10" s="72">
        <v>288</v>
      </c>
      <c r="S10" s="35"/>
      <c r="T10" s="150">
        <f t="shared" si="0"/>
        <v>933.5</v>
      </c>
      <c r="U10" s="141"/>
      <c r="V10" s="35"/>
      <c r="W10" s="35"/>
      <c r="X10" s="35"/>
      <c r="Y10" s="35"/>
      <c r="Z10" s="39"/>
      <c r="AA10" s="150">
        <f>SUM(T10:Z10)</f>
        <v>933.5</v>
      </c>
    </row>
    <row r="11" spans="2:28" ht="23.25" customHeight="1">
      <c r="B11" s="2"/>
      <c r="C11" s="596">
        <v>4</v>
      </c>
      <c r="D11" s="624" t="s">
        <v>113</v>
      </c>
      <c r="E11" s="137" t="s">
        <v>89</v>
      </c>
      <c r="F11" s="540"/>
      <c r="G11" s="35" t="s">
        <v>86</v>
      </c>
      <c r="H11" s="35">
        <v>0</v>
      </c>
      <c r="I11" s="35">
        <v>50</v>
      </c>
      <c r="J11" s="35">
        <v>50</v>
      </c>
      <c r="K11" s="35">
        <v>100</v>
      </c>
      <c r="L11" s="35">
        <v>100</v>
      </c>
      <c r="M11" s="108">
        <f t="shared" ref="M11" si="3">SUM(H11:L11)</f>
        <v>300</v>
      </c>
      <c r="N11" s="175"/>
      <c r="O11" s="175"/>
      <c r="P11" s="175"/>
      <c r="Q11" s="175"/>
      <c r="R11" s="175"/>
      <c r="S11" s="175"/>
      <c r="T11" s="151">
        <f t="shared" ref="T11:T12" si="4">SUM(N11:S11)</f>
        <v>0</v>
      </c>
      <c r="U11" s="141">
        <v>0</v>
      </c>
      <c r="V11" s="35">
        <v>100</v>
      </c>
      <c r="W11" s="35">
        <v>100</v>
      </c>
      <c r="X11" s="35">
        <v>100</v>
      </c>
      <c r="Y11" s="35">
        <v>100</v>
      </c>
      <c r="Z11" s="39">
        <v>100</v>
      </c>
      <c r="AA11" s="151">
        <f t="shared" ref="AA11:AA12" si="5">SUM(T11:Z11)</f>
        <v>500</v>
      </c>
    </row>
    <row r="12" spans="2:28" ht="23.25" customHeight="1">
      <c r="B12" s="2"/>
      <c r="C12" s="597"/>
      <c r="D12" s="656"/>
      <c r="E12" s="135" t="s">
        <v>90</v>
      </c>
      <c r="F12" s="540"/>
      <c r="G12" s="166" t="s">
        <v>87</v>
      </c>
      <c r="H12" s="35"/>
      <c r="I12" s="35"/>
      <c r="J12" s="35"/>
      <c r="K12" s="35"/>
      <c r="L12" s="35"/>
      <c r="M12" s="108"/>
      <c r="N12" s="176"/>
      <c r="O12" s="176"/>
      <c r="P12" s="176"/>
      <c r="Q12" s="177"/>
      <c r="R12" s="178"/>
      <c r="S12" s="175"/>
      <c r="T12" s="150">
        <f t="shared" si="4"/>
        <v>0</v>
      </c>
      <c r="U12" s="141"/>
      <c r="V12" s="35"/>
      <c r="W12" s="35"/>
      <c r="X12" s="35"/>
      <c r="Y12" s="35"/>
      <c r="Z12" s="39"/>
      <c r="AA12" s="150">
        <f t="shared" si="5"/>
        <v>0</v>
      </c>
    </row>
    <row r="13" spans="2:28" ht="24.75" customHeight="1">
      <c r="B13" s="2"/>
      <c r="C13" s="596">
        <v>5</v>
      </c>
      <c r="D13" s="604" t="s">
        <v>25</v>
      </c>
      <c r="E13" s="627" t="s">
        <v>114</v>
      </c>
      <c r="F13" s="540"/>
      <c r="G13" s="43" t="s">
        <v>86</v>
      </c>
      <c r="H13" s="35">
        <v>0</v>
      </c>
      <c r="I13" s="35">
        <v>150</v>
      </c>
      <c r="J13" s="35">
        <v>150</v>
      </c>
      <c r="K13" s="35">
        <v>0</v>
      </c>
      <c r="L13" s="35">
        <v>0</v>
      </c>
      <c r="M13" s="108">
        <f t="shared" si="2"/>
        <v>300</v>
      </c>
      <c r="N13" s="35">
        <v>200</v>
      </c>
      <c r="O13" s="35">
        <v>275</v>
      </c>
      <c r="P13" s="35">
        <v>300</v>
      </c>
      <c r="Q13" s="35">
        <v>300</v>
      </c>
      <c r="R13" s="35">
        <v>300</v>
      </c>
      <c r="S13" s="35">
        <v>300</v>
      </c>
      <c r="T13" s="151">
        <f t="shared" si="0"/>
        <v>1675</v>
      </c>
      <c r="U13" s="141">
        <v>200</v>
      </c>
      <c r="V13" s="35">
        <v>200</v>
      </c>
      <c r="W13" s="35">
        <v>200</v>
      </c>
      <c r="X13" s="35">
        <v>200</v>
      </c>
      <c r="Y13" s="35">
        <v>200</v>
      </c>
      <c r="Z13" s="39">
        <v>200</v>
      </c>
      <c r="AA13" s="151">
        <f t="shared" si="1"/>
        <v>2875</v>
      </c>
    </row>
    <row r="14" spans="2:28" ht="21" customHeight="1">
      <c r="B14" s="2"/>
      <c r="C14" s="597"/>
      <c r="D14" s="605"/>
      <c r="E14" s="628"/>
      <c r="F14" s="540"/>
      <c r="G14" s="166" t="s">
        <v>99</v>
      </c>
      <c r="H14" s="72">
        <v>3</v>
      </c>
      <c r="I14" s="69">
        <v>74</v>
      </c>
      <c r="J14" s="69">
        <v>109</v>
      </c>
      <c r="K14" s="72">
        <v>150</v>
      </c>
      <c r="L14" s="72">
        <v>446</v>
      </c>
      <c r="M14" s="108"/>
      <c r="N14" s="133">
        <v>447</v>
      </c>
      <c r="O14" s="133">
        <v>277</v>
      </c>
      <c r="P14" s="133">
        <v>356</v>
      </c>
      <c r="Q14" s="72">
        <v>230</v>
      </c>
      <c r="R14" s="72">
        <v>263</v>
      </c>
      <c r="S14" s="35"/>
      <c r="T14" s="150">
        <f t="shared" si="0"/>
        <v>1573</v>
      </c>
      <c r="U14" s="141"/>
      <c r="V14" s="35"/>
      <c r="W14" s="35"/>
      <c r="X14" s="35"/>
      <c r="Y14" s="35"/>
      <c r="Z14" s="39"/>
      <c r="AA14" s="150">
        <f>SUM(T14:Z14)</f>
        <v>1573</v>
      </c>
    </row>
    <row r="15" spans="2:28" ht="26.25" customHeight="1">
      <c r="B15" s="2"/>
      <c r="C15" s="596">
        <v>6</v>
      </c>
      <c r="D15" s="604" t="s">
        <v>68</v>
      </c>
      <c r="E15" s="626" t="s">
        <v>115</v>
      </c>
      <c r="F15" s="540"/>
      <c r="G15" s="35" t="s">
        <v>86</v>
      </c>
      <c r="H15" s="606" t="s">
        <v>98</v>
      </c>
      <c r="I15" s="607"/>
      <c r="J15" s="608"/>
      <c r="K15" s="35"/>
      <c r="L15" s="35"/>
      <c r="M15" s="108"/>
      <c r="N15" s="35">
        <v>150</v>
      </c>
      <c r="O15" s="35">
        <v>50</v>
      </c>
      <c r="P15" s="35">
        <v>150</v>
      </c>
      <c r="Q15" s="35">
        <v>150</v>
      </c>
      <c r="R15" s="35">
        <v>200</v>
      </c>
      <c r="S15" s="35">
        <v>200</v>
      </c>
      <c r="T15" s="151">
        <f t="shared" si="0"/>
        <v>900</v>
      </c>
      <c r="U15" s="141">
        <v>150</v>
      </c>
      <c r="V15" s="35">
        <v>200</v>
      </c>
      <c r="W15" s="35">
        <v>200</v>
      </c>
      <c r="X15" s="35">
        <v>200</v>
      </c>
      <c r="Y15" s="35">
        <v>200</v>
      </c>
      <c r="Z15" s="39">
        <v>200</v>
      </c>
      <c r="AA15" s="151">
        <f t="shared" si="1"/>
        <v>2050</v>
      </c>
    </row>
    <row r="16" spans="2:28">
      <c r="B16" s="2"/>
      <c r="C16" s="597"/>
      <c r="D16" s="540"/>
      <c r="E16" s="626"/>
      <c r="F16" s="540"/>
      <c r="G16" s="168" t="s">
        <v>99</v>
      </c>
      <c r="H16" s="609"/>
      <c r="I16" s="610"/>
      <c r="J16" s="611"/>
      <c r="K16" s="35"/>
      <c r="L16" s="35"/>
      <c r="M16" s="108"/>
      <c r="N16" s="72">
        <v>0</v>
      </c>
      <c r="O16" s="72">
        <v>0</v>
      </c>
      <c r="P16" s="72">
        <v>0</v>
      </c>
      <c r="Q16" s="173">
        <v>0</v>
      </c>
      <c r="R16" s="35">
        <v>0</v>
      </c>
      <c r="S16" s="35"/>
      <c r="T16" s="150">
        <f t="shared" si="0"/>
        <v>0</v>
      </c>
      <c r="U16" s="141"/>
      <c r="V16" s="35"/>
      <c r="W16" s="35"/>
      <c r="X16" s="35"/>
      <c r="Y16" s="35"/>
      <c r="Z16" s="39"/>
      <c r="AA16" s="165">
        <f t="shared" si="1"/>
        <v>0</v>
      </c>
    </row>
    <row r="17" spans="2:27" ht="24" customHeight="1">
      <c r="B17" s="2"/>
      <c r="C17" s="596">
        <v>7</v>
      </c>
      <c r="D17" s="598" t="s">
        <v>69</v>
      </c>
      <c r="E17" s="655" t="s">
        <v>116</v>
      </c>
      <c r="F17" s="540"/>
      <c r="G17" s="169" t="s">
        <v>86</v>
      </c>
      <c r="H17" s="612" t="s">
        <v>101</v>
      </c>
      <c r="I17" s="613"/>
      <c r="J17" s="614"/>
      <c r="K17" s="35"/>
      <c r="L17" s="35"/>
      <c r="M17" s="108"/>
      <c r="N17" s="35">
        <v>0</v>
      </c>
      <c r="O17" s="35">
        <v>0</v>
      </c>
      <c r="P17" s="35">
        <v>0</v>
      </c>
      <c r="Q17" s="35">
        <v>960</v>
      </c>
      <c r="R17" s="35">
        <v>960</v>
      </c>
      <c r="S17" s="35">
        <v>960</v>
      </c>
      <c r="T17" s="151">
        <f t="shared" si="0"/>
        <v>2880</v>
      </c>
      <c r="U17" s="141">
        <v>960</v>
      </c>
      <c r="V17" s="35">
        <v>960</v>
      </c>
      <c r="W17" s="35">
        <v>960</v>
      </c>
      <c r="X17" s="35">
        <v>960</v>
      </c>
      <c r="Y17" s="35">
        <v>960</v>
      </c>
      <c r="Z17" s="39">
        <v>960</v>
      </c>
      <c r="AA17" s="151">
        <f t="shared" si="1"/>
        <v>8640</v>
      </c>
    </row>
    <row r="18" spans="2:27">
      <c r="B18" s="2"/>
      <c r="C18" s="597"/>
      <c r="D18" s="599"/>
      <c r="E18" s="655"/>
      <c r="F18" s="540"/>
      <c r="G18" s="168" t="s">
        <v>99</v>
      </c>
      <c r="H18" s="612"/>
      <c r="I18" s="613"/>
      <c r="J18" s="614"/>
      <c r="K18" s="35"/>
      <c r="L18" s="35"/>
      <c r="M18" s="108"/>
      <c r="N18" s="72">
        <v>0</v>
      </c>
      <c r="O18" s="72">
        <v>0</v>
      </c>
      <c r="P18" s="72">
        <v>0</v>
      </c>
      <c r="Q18" s="173">
        <v>0</v>
      </c>
      <c r="R18" s="133">
        <v>0</v>
      </c>
      <c r="S18" s="35"/>
      <c r="T18" s="150">
        <f t="shared" si="0"/>
        <v>0</v>
      </c>
      <c r="U18" s="141"/>
      <c r="V18" s="35"/>
      <c r="W18" s="35"/>
      <c r="X18" s="35"/>
      <c r="Y18" s="35"/>
      <c r="Z18" s="39"/>
      <c r="AA18" s="150">
        <f t="shared" si="1"/>
        <v>0</v>
      </c>
    </row>
    <row r="19" spans="2:27" ht="19.5" customHeight="1">
      <c r="B19" s="2"/>
      <c r="C19" s="596">
        <v>8</v>
      </c>
      <c r="D19" s="639" t="s">
        <v>117</v>
      </c>
      <c r="E19" s="641" t="s">
        <v>118</v>
      </c>
      <c r="F19" s="540"/>
      <c r="G19" s="169" t="s">
        <v>86</v>
      </c>
      <c r="H19" s="80"/>
      <c r="I19" s="81"/>
      <c r="J19" s="82"/>
      <c r="K19" s="35"/>
      <c r="L19" s="35"/>
      <c r="M19" s="108"/>
      <c r="N19" s="643"/>
      <c r="O19" s="620" t="s">
        <v>119</v>
      </c>
      <c r="P19" s="621"/>
      <c r="Q19" s="35"/>
      <c r="R19" s="35"/>
      <c r="S19" s="35"/>
      <c r="T19" s="151">
        <f t="shared" ref="T19:T20" si="6">SUM(N19:S19)</f>
        <v>0</v>
      </c>
      <c r="U19" s="141"/>
      <c r="V19" s="35"/>
      <c r="W19" s="35"/>
      <c r="X19" s="35"/>
      <c r="Y19" s="35"/>
      <c r="Z19" s="39"/>
      <c r="AA19" s="151">
        <f t="shared" ref="AA19:AA20" si="7">SUM(T19:Z19)</f>
        <v>0</v>
      </c>
    </row>
    <row r="20" spans="2:27">
      <c r="B20" s="2"/>
      <c r="C20" s="638"/>
      <c r="D20" s="640"/>
      <c r="E20" s="642"/>
      <c r="F20" s="540"/>
      <c r="G20" s="168" t="s">
        <v>99</v>
      </c>
      <c r="H20" s="83"/>
      <c r="I20" s="84"/>
      <c r="J20" s="85"/>
      <c r="K20" s="62"/>
      <c r="L20" s="62"/>
      <c r="M20" s="109"/>
      <c r="N20" s="644"/>
      <c r="O20" s="622"/>
      <c r="P20" s="623"/>
      <c r="Q20" s="62"/>
      <c r="R20" s="62"/>
      <c r="S20" s="62"/>
      <c r="T20" s="174">
        <f t="shared" si="6"/>
        <v>0</v>
      </c>
      <c r="U20" s="147"/>
      <c r="V20" s="62"/>
      <c r="W20" s="62"/>
      <c r="X20" s="62"/>
      <c r="Y20" s="62"/>
      <c r="Z20" s="138"/>
      <c r="AA20" s="150">
        <f t="shared" si="7"/>
        <v>0</v>
      </c>
    </row>
    <row r="21" spans="2:27" ht="19.5" customHeight="1">
      <c r="B21" s="2"/>
      <c r="C21" s="629">
        <v>9</v>
      </c>
      <c r="D21" s="631" t="s">
        <v>120</v>
      </c>
      <c r="E21" s="633" t="s">
        <v>115</v>
      </c>
      <c r="F21" s="540"/>
      <c r="G21" s="169" t="s">
        <v>86</v>
      </c>
      <c r="H21" s="80"/>
      <c r="I21" s="81"/>
      <c r="J21" s="82"/>
      <c r="K21" s="35"/>
      <c r="L21" s="35"/>
      <c r="M21" s="108"/>
      <c r="N21" s="35"/>
      <c r="O21" s="35"/>
      <c r="P21" s="35"/>
      <c r="Q21" s="35"/>
      <c r="R21" s="624" t="s">
        <v>121</v>
      </c>
      <c r="S21" s="35"/>
      <c r="T21" s="151">
        <f t="shared" si="0"/>
        <v>0</v>
      </c>
      <c r="U21" s="141"/>
      <c r="V21" s="35"/>
      <c r="W21" s="35"/>
      <c r="X21" s="35"/>
      <c r="Y21" s="35"/>
      <c r="Z21" s="39"/>
      <c r="AA21" s="151">
        <f t="shared" si="1"/>
        <v>0</v>
      </c>
    </row>
    <row r="22" spans="2:27">
      <c r="B22" s="2"/>
      <c r="C22" s="630"/>
      <c r="D22" s="632"/>
      <c r="E22" s="634"/>
      <c r="F22" s="654"/>
      <c r="G22" s="168" t="s">
        <v>99</v>
      </c>
      <c r="H22" s="83"/>
      <c r="I22" s="84"/>
      <c r="J22" s="85"/>
      <c r="K22" s="62"/>
      <c r="L22" s="62"/>
      <c r="M22" s="109"/>
      <c r="N22" s="62"/>
      <c r="O22" s="62"/>
      <c r="P22" s="62"/>
      <c r="Q22" s="62"/>
      <c r="R22" s="625"/>
      <c r="S22" s="62"/>
      <c r="T22" s="152">
        <f t="shared" si="0"/>
        <v>0</v>
      </c>
      <c r="U22" s="147"/>
      <c r="V22" s="62"/>
      <c r="W22" s="62"/>
      <c r="X22" s="62"/>
      <c r="Y22" s="62"/>
      <c r="Z22" s="138"/>
      <c r="AA22" s="150">
        <f t="shared" si="1"/>
        <v>0</v>
      </c>
    </row>
    <row r="23" spans="2:27" ht="22.5" customHeight="1">
      <c r="B23" s="2"/>
      <c r="C23" s="645" t="s">
        <v>122</v>
      </c>
      <c r="D23" s="646"/>
      <c r="E23" s="646"/>
      <c r="F23" s="647"/>
      <c r="G23" s="12" t="s">
        <v>86</v>
      </c>
      <c r="H23" s="12">
        <f>SUMIF(G5:G22,"計画",H5:H22)</f>
        <v>200</v>
      </c>
      <c r="I23" s="12">
        <f>SUMIF(G5:G22,"計画",I5:I22)</f>
        <v>500</v>
      </c>
      <c r="J23" s="12">
        <f>SUMIF(G5:G22,"計画",J5:J22)</f>
        <v>600</v>
      </c>
      <c r="K23" s="12">
        <f ca="1">SUMIF(G5:J22,"計画",K5:K22)</f>
        <v>550</v>
      </c>
      <c r="L23" s="12">
        <f>SUMIF(G5:G22,"計画",L5:L22)</f>
        <v>700</v>
      </c>
      <c r="M23" s="76">
        <f ca="1">SUM(H23:L23)</f>
        <v>2550</v>
      </c>
      <c r="N23" s="12">
        <f>SUMIF(G5:G22,"計画",N5:N22)</f>
        <v>500</v>
      </c>
      <c r="O23" s="12">
        <f>SUMIF(G5:G22,"計画",O5:O22)</f>
        <v>375</v>
      </c>
      <c r="P23" s="12">
        <f>SUMIF(G5:G22,"計画",P5:P22)</f>
        <v>1120</v>
      </c>
      <c r="Q23" s="12">
        <f>SUMIF(G5:G22,"計画",Q5:Q22)</f>
        <v>2080</v>
      </c>
      <c r="R23" s="12">
        <f>SUMIF(G5:G22,"計画",R5:R22)</f>
        <v>2230</v>
      </c>
      <c r="S23" s="12">
        <f>SUMIF(G5:G22,"計画",S5:S22)</f>
        <v>2355</v>
      </c>
      <c r="T23" s="154">
        <f>SUM(N23:S23)</f>
        <v>8660</v>
      </c>
      <c r="U23" s="153">
        <f>SUMIF(G5:G22,"計画",U5:U22)</f>
        <v>2130</v>
      </c>
      <c r="V23" s="12">
        <f>SUMIF(G5:G22,"計画",V5:V22)</f>
        <v>2010</v>
      </c>
      <c r="W23" s="12">
        <f>SUMIF(G5:G22,"計画",W5:W22)</f>
        <v>2060</v>
      </c>
      <c r="X23" s="12">
        <f>SUMIF(G5:G22,"計画",X5:X22)</f>
        <v>2060</v>
      </c>
      <c r="Y23" s="12">
        <f>SUMIF(G5:G22,"計画",Y5:Y22)</f>
        <v>2110</v>
      </c>
      <c r="Z23" s="143">
        <f>SUMIF(G5:G22,"計画",Z5:Z22)</f>
        <v>2160</v>
      </c>
      <c r="AA23" s="154">
        <f>SUM(T23:Z23)</f>
        <v>21190</v>
      </c>
    </row>
    <row r="24" spans="2:27" ht="22.5" customHeight="1">
      <c r="B24" s="2"/>
      <c r="C24" s="648"/>
      <c r="D24" s="649"/>
      <c r="E24" s="649"/>
      <c r="F24" s="650"/>
      <c r="G24" s="170" t="s">
        <v>87</v>
      </c>
      <c r="H24" s="10">
        <f>SUMIF(G5:G23,"実績",H5:H23)</f>
        <v>207</v>
      </c>
      <c r="I24" s="10">
        <f ca="1">SUMIF(G5:H23,"実績",I5:I23)</f>
        <v>224</v>
      </c>
      <c r="J24" s="10">
        <f ca="1">SUMIF(G5:I22,"実績",J5:J22)</f>
        <v>109</v>
      </c>
      <c r="K24" s="10">
        <f ca="1">SUMIF(G5:J22,"実績",K5:K22)</f>
        <v>275</v>
      </c>
      <c r="L24" s="10">
        <f ca="1">SUMIF(G5:K22,"実績",L5:L22)</f>
        <v>446</v>
      </c>
      <c r="M24" s="155">
        <f ca="1">SUM(H24:L24)</f>
        <v>1261</v>
      </c>
      <c r="N24" s="156">
        <f>SUMIF($G$5:$G$22,"実績",N5:N22)</f>
        <v>532.5</v>
      </c>
      <c r="O24" s="156">
        <f>SUMIF($G$5:$G$22,"実績",O5:O22)</f>
        <v>277</v>
      </c>
      <c r="P24" s="156">
        <f t="shared" ref="P24:S24" si="8">SUMIF($G$5:$G$22,"実績",P5:P22)</f>
        <v>596</v>
      </c>
      <c r="Q24" s="156">
        <f t="shared" si="8"/>
        <v>550</v>
      </c>
      <c r="R24" s="156">
        <f t="shared" si="8"/>
        <v>551</v>
      </c>
      <c r="S24" s="10">
        <f t="shared" si="8"/>
        <v>0</v>
      </c>
      <c r="T24" s="157">
        <f>SUM(N24:S24)</f>
        <v>2506.5</v>
      </c>
      <c r="U24" s="158">
        <f>SUMIF(G5:G22,"実績",U5:U22)</f>
        <v>0</v>
      </c>
      <c r="V24" s="10">
        <f>SUMIF(G5:G22,"実績",V5:V22)</f>
        <v>0</v>
      </c>
      <c r="W24" s="10">
        <f>SUMIF(G5:G22,"実績",W5:W22)</f>
        <v>0</v>
      </c>
      <c r="X24" s="10">
        <f>SUMIF(G5:G22,"実績",X5:X22)</f>
        <v>0</v>
      </c>
      <c r="Y24" s="10">
        <f>SUMIF(G5:G22,"実績",Y5:Y22)</f>
        <v>0</v>
      </c>
      <c r="Z24" s="159">
        <f>SUMIF(G5:G22,"実績",Z5:Z22)</f>
        <v>0</v>
      </c>
      <c r="AA24" s="157">
        <f t="shared" si="1"/>
        <v>2506.5</v>
      </c>
    </row>
    <row r="25" spans="2:27" ht="22.5" customHeight="1">
      <c r="B25" s="2"/>
      <c r="C25" s="645" t="s">
        <v>123</v>
      </c>
      <c r="D25" s="646"/>
      <c r="E25" s="646"/>
      <c r="F25" s="647"/>
      <c r="G25" s="12" t="s">
        <v>124</v>
      </c>
      <c r="H25" s="12"/>
      <c r="I25" s="12"/>
      <c r="J25" s="12"/>
      <c r="K25" s="12"/>
      <c r="L25" s="12"/>
      <c r="M25" s="12"/>
      <c r="N25" s="12">
        <f>N23</f>
        <v>500</v>
      </c>
      <c r="O25" s="12">
        <f>N25+O23</f>
        <v>875</v>
      </c>
      <c r="P25" s="12">
        <f>O25+P23</f>
        <v>1995</v>
      </c>
      <c r="Q25" s="12">
        <f>P25+Q23</f>
        <v>4075</v>
      </c>
      <c r="R25" s="12">
        <f>Q25+R23</f>
        <v>6305</v>
      </c>
      <c r="S25" s="12">
        <f>R25+S23</f>
        <v>8660</v>
      </c>
      <c r="T25" s="154">
        <f>S25</f>
        <v>8660</v>
      </c>
      <c r="U25" s="153">
        <f>S25+U23</f>
        <v>10790</v>
      </c>
      <c r="V25" s="12">
        <f>U25+V23</f>
        <v>12800</v>
      </c>
      <c r="W25" s="12">
        <f>V25+W23</f>
        <v>14860</v>
      </c>
      <c r="X25" s="12">
        <f>W25+X23</f>
        <v>16920</v>
      </c>
      <c r="Y25" s="12">
        <f>X25+Y23</f>
        <v>19030</v>
      </c>
      <c r="Z25" s="143">
        <f>Y25+Z23</f>
        <v>21190</v>
      </c>
      <c r="AA25" s="154">
        <f>Z25</f>
        <v>21190</v>
      </c>
    </row>
    <row r="26" spans="2:27" ht="22.5" customHeight="1">
      <c r="C26" s="651"/>
      <c r="D26" s="652"/>
      <c r="E26" s="652"/>
      <c r="F26" s="653"/>
      <c r="G26" s="171" t="s">
        <v>99</v>
      </c>
      <c r="H26" s="160"/>
      <c r="I26" s="160"/>
      <c r="J26" s="160"/>
      <c r="K26" s="160"/>
      <c r="L26" s="160"/>
      <c r="M26" s="160"/>
      <c r="N26" s="144">
        <f>N24</f>
        <v>532.5</v>
      </c>
      <c r="O26" s="144">
        <f>N26+O24</f>
        <v>809.5</v>
      </c>
      <c r="P26" s="144">
        <f t="shared" ref="P26:Q26" si="9">O26+P24</f>
        <v>1405.5</v>
      </c>
      <c r="Q26" s="144">
        <f t="shared" si="9"/>
        <v>1955.5</v>
      </c>
      <c r="R26" s="144">
        <f>Q26+R24</f>
        <v>2506.5</v>
      </c>
      <c r="S26" s="14">
        <f>R26+S24</f>
        <v>2506.5</v>
      </c>
      <c r="T26" s="161">
        <f>S26</f>
        <v>2506.5</v>
      </c>
      <c r="U26" s="162">
        <f>S26+U24</f>
        <v>2506.5</v>
      </c>
      <c r="V26" s="160">
        <f>U26+V24</f>
        <v>2506.5</v>
      </c>
      <c r="W26" s="160">
        <f t="shared" ref="W26:Y26" si="10">V26+W24</f>
        <v>2506.5</v>
      </c>
      <c r="X26" s="160">
        <f t="shared" si="10"/>
        <v>2506.5</v>
      </c>
      <c r="Y26" s="160">
        <f t="shared" si="10"/>
        <v>2506.5</v>
      </c>
      <c r="Z26" s="164">
        <f>Y26+Z24</f>
        <v>2506.5</v>
      </c>
      <c r="AA26" s="161">
        <f>Z26</f>
        <v>2506.5</v>
      </c>
    </row>
    <row r="27" spans="2:27">
      <c r="T27" s="139"/>
      <c r="AA27" s="139"/>
    </row>
    <row r="28" spans="2:27">
      <c r="H28" s="594"/>
      <c r="I28" s="594"/>
      <c r="J28" s="594"/>
      <c r="K28" s="595"/>
      <c r="L28" s="595"/>
      <c r="M28" s="595"/>
      <c r="T28" s="1"/>
      <c r="V28" s="594" t="s">
        <v>86</v>
      </c>
      <c r="W28" s="594"/>
      <c r="X28" s="594"/>
      <c r="Y28" s="595" t="s">
        <v>99</v>
      </c>
      <c r="Z28" s="595"/>
      <c r="AA28" s="595"/>
    </row>
    <row r="29" spans="2:27" ht="19.149999999999999" customHeight="1">
      <c r="D29" s="590"/>
      <c r="E29" s="591"/>
      <c r="F29" s="591"/>
      <c r="G29" s="592"/>
      <c r="H29" s="587"/>
      <c r="I29" s="588"/>
      <c r="J29" s="589"/>
      <c r="K29" s="587"/>
      <c r="L29" s="588"/>
      <c r="M29" s="589"/>
      <c r="O29" s="593" t="s">
        <v>103</v>
      </c>
      <c r="P29" s="593"/>
      <c r="Q29" s="593"/>
      <c r="R29" s="593"/>
      <c r="S29" s="593"/>
      <c r="T29" s="593"/>
      <c r="U29" s="593"/>
      <c r="V29" s="587">
        <f>SUM(AA23)</f>
        <v>21190</v>
      </c>
      <c r="W29" s="588"/>
      <c r="X29" s="589"/>
      <c r="Y29" s="587">
        <f>AA26</f>
        <v>2506.5</v>
      </c>
      <c r="Z29" s="588"/>
      <c r="AA29" s="589"/>
    </row>
    <row r="30" spans="2:27">
      <c r="D30" s="590"/>
      <c r="E30" s="591"/>
      <c r="F30" s="591"/>
      <c r="G30" s="592"/>
      <c r="H30" s="587"/>
      <c r="I30" s="588"/>
      <c r="J30" s="589"/>
      <c r="K30" s="587"/>
      <c r="L30" s="588"/>
      <c r="M30" s="589"/>
      <c r="O30" s="593" t="s">
        <v>35</v>
      </c>
      <c r="P30" s="593"/>
      <c r="Q30" s="593"/>
      <c r="R30" s="593"/>
      <c r="S30" s="593"/>
      <c r="T30" s="593"/>
      <c r="U30" s="593"/>
      <c r="V30" s="587">
        <f>V29*1800</f>
        <v>38142000</v>
      </c>
      <c r="W30" s="588"/>
      <c r="X30" s="589"/>
      <c r="Y30" s="587">
        <f>Y29*1800</f>
        <v>4511700</v>
      </c>
      <c r="Z30" s="588"/>
      <c r="AA30" s="589"/>
    </row>
    <row r="31" spans="2:27">
      <c r="D31" s="590"/>
      <c r="E31" s="591"/>
      <c r="F31" s="591"/>
      <c r="G31" s="592"/>
      <c r="H31" s="587"/>
      <c r="I31" s="588"/>
      <c r="J31" s="589"/>
      <c r="K31" s="587"/>
      <c r="L31" s="588"/>
      <c r="M31" s="589"/>
      <c r="O31" s="593" t="s">
        <v>36</v>
      </c>
      <c r="P31" s="593"/>
      <c r="Q31" s="593"/>
      <c r="R31" s="593"/>
      <c r="S31" s="593"/>
      <c r="T31" s="593"/>
      <c r="U31" s="593"/>
      <c r="V31" s="587">
        <v>165</v>
      </c>
      <c r="W31" s="588"/>
      <c r="X31" s="589"/>
      <c r="Y31" s="587">
        <v>165</v>
      </c>
      <c r="Z31" s="588"/>
      <c r="AA31" s="589"/>
    </row>
    <row r="32" spans="2:27">
      <c r="D32" s="590"/>
      <c r="E32" s="591"/>
      <c r="F32" s="591"/>
      <c r="G32" s="592"/>
      <c r="H32" s="587"/>
      <c r="I32" s="588"/>
      <c r="J32" s="589"/>
      <c r="K32" s="587"/>
      <c r="L32" s="588"/>
      <c r="M32" s="589"/>
      <c r="O32" s="593" t="s">
        <v>37</v>
      </c>
      <c r="P32" s="593"/>
      <c r="Q32" s="593"/>
      <c r="R32" s="593"/>
      <c r="S32" s="593"/>
      <c r="T32" s="593"/>
      <c r="U32" s="593"/>
      <c r="V32" s="587">
        <f>V30*V31</f>
        <v>6293430000</v>
      </c>
      <c r="W32" s="588"/>
      <c r="X32" s="589"/>
      <c r="Y32" s="587">
        <f>Y30*Y31</f>
        <v>744430500</v>
      </c>
      <c r="Z32" s="588"/>
      <c r="AA32" s="589"/>
    </row>
    <row r="33" s="139" customFormat="1"/>
    <row r="34" s="139" customFormat="1"/>
    <row r="35" s="139" customFormat="1"/>
    <row r="36" s="139" customFormat="1"/>
    <row r="37" s="139" customFormat="1"/>
    <row r="38" s="139" customFormat="1"/>
    <row r="39" s="139" customFormat="1"/>
    <row r="40" s="139" customFormat="1"/>
    <row r="41" s="139" customFormat="1"/>
    <row r="42" s="139" customFormat="1"/>
    <row r="43" s="139" customFormat="1"/>
    <row r="44" s="139" customFormat="1"/>
    <row r="45" s="139" customFormat="1"/>
    <row r="46" s="139" customFormat="1"/>
    <row r="47" s="139" customFormat="1"/>
    <row r="48" s="139" customFormat="1"/>
    <row r="49" s="139" customFormat="1"/>
    <row r="50" s="139" customFormat="1"/>
    <row r="51" s="139" customFormat="1"/>
    <row r="52" s="139" customFormat="1"/>
    <row r="53" s="139" customFormat="1"/>
    <row r="54" s="139" customFormat="1"/>
    <row r="55" s="139" customFormat="1"/>
    <row r="56" s="139" customFormat="1"/>
    <row r="57" s="139" customFormat="1"/>
    <row r="58" s="139" customFormat="1"/>
    <row r="59" s="139" customFormat="1"/>
    <row r="60" s="139" customFormat="1"/>
    <row r="61" s="139" customFormat="1"/>
    <row r="62" s="139" customFormat="1"/>
    <row r="63" s="139" customFormat="1"/>
    <row r="64" s="139" customFormat="1"/>
    <row r="65" s="139" customFormat="1"/>
    <row r="66" s="139" customFormat="1"/>
    <row r="67" s="139" customFormat="1"/>
    <row r="68" s="139" customFormat="1"/>
    <row r="69" s="139" customFormat="1"/>
    <row r="70" s="139" customFormat="1"/>
    <row r="71" s="139" customFormat="1"/>
    <row r="72" s="139" customFormat="1"/>
    <row r="73" s="139" customFormat="1"/>
    <row r="74" s="139" customFormat="1"/>
    <row r="75" s="139" customFormat="1"/>
    <row r="76" s="139" customFormat="1"/>
    <row r="77" s="139" customFormat="1"/>
    <row r="78" s="139" customFormat="1"/>
    <row r="79" s="139" customFormat="1"/>
    <row r="80" s="139" customFormat="1"/>
    <row r="81" s="139" customFormat="1"/>
    <row r="82" s="139" customFormat="1"/>
    <row r="83" s="139" customFormat="1"/>
    <row r="84" s="139" customFormat="1"/>
    <row r="85" s="139" customFormat="1"/>
    <row r="86" s="139" customFormat="1"/>
    <row r="87" s="139" customFormat="1"/>
    <row r="88" s="139" customFormat="1"/>
    <row r="89" s="139" customFormat="1"/>
    <row r="90" s="139" customFormat="1"/>
    <row r="91" s="139" customFormat="1"/>
    <row r="92" s="139" customFormat="1"/>
    <row r="93" s="139" customFormat="1"/>
    <row r="94" s="139" customFormat="1"/>
    <row r="95" s="139" customFormat="1"/>
    <row r="96" s="139" customFormat="1"/>
    <row r="97" s="139" customFormat="1"/>
    <row r="98" s="139" customFormat="1"/>
    <row r="99" s="139" customFormat="1"/>
    <row r="100" s="139" customFormat="1"/>
    <row r="101" s="139" customFormat="1"/>
    <row r="102" s="139" customFormat="1"/>
    <row r="103" s="139" customFormat="1"/>
    <row r="104" s="139" customFormat="1"/>
    <row r="105" s="139" customFormat="1"/>
    <row r="106" s="139" customFormat="1"/>
    <row r="107" s="139" customFormat="1"/>
    <row r="108" s="139" customFormat="1"/>
    <row r="109" s="139" customFormat="1"/>
    <row r="110" s="139" customFormat="1"/>
    <row r="111" s="139" customFormat="1"/>
    <row r="112" s="139" customFormat="1"/>
    <row r="113" s="139" customFormat="1"/>
    <row r="114" s="139" customFormat="1"/>
    <row r="115" s="139" customFormat="1"/>
    <row r="116" s="139" customFormat="1"/>
    <row r="117" s="139" customFormat="1"/>
    <row r="118" s="139" customFormat="1"/>
    <row r="119" s="139" customFormat="1"/>
    <row r="120" s="139" customFormat="1"/>
    <row r="121" s="139" customFormat="1"/>
    <row r="122" s="139" customFormat="1"/>
    <row r="123" s="139" customFormat="1"/>
    <row r="124" s="139" customFormat="1"/>
    <row r="125" s="139" customFormat="1"/>
    <row r="126" s="139" customFormat="1"/>
    <row r="127" s="139" customFormat="1"/>
    <row r="128" s="139" customFormat="1"/>
    <row r="129" s="139" customFormat="1"/>
    <row r="130" s="139" customFormat="1"/>
    <row r="131" s="139" customFormat="1"/>
    <row r="132" s="139" customFormat="1"/>
    <row r="133" s="139" customFormat="1"/>
    <row r="134" s="139" customFormat="1"/>
    <row r="135" s="139" customFormat="1"/>
    <row r="136" s="139" customFormat="1"/>
    <row r="137" s="139" customFormat="1"/>
    <row r="138" s="139" customFormat="1"/>
    <row r="139" s="139" customFormat="1"/>
    <row r="140" s="139" customFormat="1"/>
    <row r="141" s="139" customFormat="1"/>
    <row r="142" s="139" customFormat="1"/>
    <row r="143" s="139" customFormat="1"/>
    <row r="144" s="139" customFormat="1"/>
    <row r="145" s="139" customFormat="1"/>
    <row r="146" s="139" customFormat="1"/>
    <row r="147" s="139" customFormat="1"/>
    <row r="148" s="139" customFormat="1"/>
    <row r="149" s="139" customFormat="1"/>
    <row r="150" s="139" customFormat="1"/>
    <row r="151" s="139" customFormat="1"/>
    <row r="152" s="139" customFormat="1"/>
    <row r="153" s="139" customFormat="1"/>
    <row r="154" s="139" customFormat="1"/>
    <row r="155" s="139" customFormat="1"/>
    <row r="156" s="139" customFormat="1"/>
    <row r="157" s="139" customFormat="1"/>
    <row r="158" s="139" customFormat="1"/>
    <row r="159" s="139" customFormat="1"/>
    <row r="160" s="139" customFormat="1"/>
    <row r="161" s="139" customFormat="1"/>
    <row r="162" s="139" customFormat="1"/>
    <row r="163" s="139" customFormat="1"/>
    <row r="164" s="139" customFormat="1"/>
    <row r="165" s="139" customFormat="1"/>
    <row r="166" s="139" customFormat="1"/>
    <row r="167" s="139" customFormat="1"/>
    <row r="168" s="139" customFormat="1"/>
    <row r="169" s="139" customFormat="1"/>
    <row r="170" s="139" customFormat="1"/>
    <row r="171" s="139" customFormat="1"/>
    <row r="172" s="139" customFormat="1"/>
    <row r="173" s="139" customFormat="1"/>
    <row r="174" s="139" customFormat="1"/>
    <row r="175" s="139" customFormat="1"/>
    <row r="176" s="139" customFormat="1"/>
    <row r="177" s="139" customFormat="1"/>
    <row r="178" s="139" customFormat="1"/>
    <row r="179" s="139" customFormat="1"/>
    <row r="180" s="139" customFormat="1"/>
    <row r="181" s="139" customFormat="1"/>
    <row r="182" s="139" customFormat="1"/>
    <row r="183" s="139" customFormat="1"/>
    <row r="184" s="139" customFormat="1"/>
    <row r="185" s="139" customFormat="1"/>
    <row r="186" s="139" customFormat="1"/>
    <row r="187" s="139" customFormat="1"/>
    <row r="188" s="139" customFormat="1"/>
    <row r="189" s="139" customFormat="1"/>
    <row r="190" s="139" customFormat="1"/>
    <row r="191" s="139" customFormat="1"/>
    <row r="192" s="139" customFormat="1"/>
    <row r="193" s="139" customFormat="1"/>
    <row r="194" s="139" customFormat="1"/>
    <row r="195" s="139" customFormat="1"/>
    <row r="196" s="139" customFormat="1"/>
    <row r="197" s="139" customFormat="1"/>
    <row r="198" s="139" customFormat="1"/>
    <row r="199" s="139" customFormat="1"/>
    <row r="200" s="139" customFormat="1"/>
    <row r="201" s="139" customFormat="1"/>
    <row r="202" s="139" customFormat="1"/>
    <row r="203" s="139" customFormat="1"/>
    <row r="204" s="139" customFormat="1"/>
    <row r="205" s="139" customFormat="1"/>
    <row r="206" s="139" customFormat="1"/>
    <row r="207" s="139" customFormat="1"/>
    <row r="208" s="139" customFormat="1"/>
    <row r="209" s="139" customFormat="1"/>
    <row r="210" s="139" customFormat="1"/>
    <row r="211" s="139" customFormat="1"/>
    <row r="212" s="139" customFormat="1"/>
    <row r="213" s="139" customFormat="1"/>
    <row r="214" s="139" customFormat="1"/>
    <row r="215" s="139" customFormat="1"/>
    <row r="216" s="139" customFormat="1"/>
    <row r="217" s="139" customFormat="1"/>
    <row r="218" s="139" customFormat="1"/>
    <row r="219" s="139" customFormat="1"/>
    <row r="220" s="139" customFormat="1"/>
    <row r="221" s="139" customFormat="1"/>
    <row r="222" s="139" customFormat="1"/>
    <row r="223" s="139" customFormat="1"/>
    <row r="224" s="139" customFormat="1"/>
    <row r="225" s="139" customFormat="1"/>
    <row r="226" s="139" customFormat="1"/>
    <row r="227" s="139" customFormat="1"/>
    <row r="228" s="139" customFormat="1"/>
    <row r="229" s="139" customFormat="1"/>
    <row r="230" s="139" customFormat="1"/>
    <row r="231" s="139" customFormat="1"/>
    <row r="232" s="139" customFormat="1"/>
    <row r="233" s="139" customFormat="1"/>
    <row r="234" s="139" customFormat="1"/>
    <row r="235" s="139" customFormat="1"/>
    <row r="236" s="139" customFormat="1"/>
    <row r="237" s="139" customFormat="1"/>
    <row r="238" s="139" customFormat="1"/>
    <row r="239" s="139" customFormat="1"/>
    <row r="240" s="139" customFormat="1"/>
    <row r="241" s="139" customFormat="1"/>
    <row r="242" s="139" customFormat="1"/>
    <row r="243" s="139" customFormat="1"/>
    <row r="244" s="139" customFormat="1"/>
    <row r="245" s="139" customFormat="1"/>
    <row r="246" s="139" customFormat="1"/>
    <row r="247" s="139" customFormat="1"/>
    <row r="248" s="139" customFormat="1"/>
    <row r="249" s="139" customFormat="1"/>
    <row r="250" s="139" customFormat="1"/>
    <row r="251" s="139" customFormat="1"/>
    <row r="252" s="139" customFormat="1"/>
    <row r="253" s="139" customFormat="1"/>
    <row r="254" s="139" customFormat="1"/>
    <row r="255" s="139" customFormat="1"/>
    <row r="256" s="139" customFormat="1"/>
    <row r="257" s="139" customFormat="1"/>
    <row r="258" s="139" customFormat="1"/>
    <row r="259" s="139" customFormat="1"/>
    <row r="260" s="139" customFormat="1"/>
    <row r="261" s="139" customFormat="1"/>
    <row r="262" s="139" customFormat="1"/>
    <row r="263" s="139" customFormat="1"/>
    <row r="264" s="139" customFormat="1"/>
    <row r="265" s="139" customFormat="1"/>
    <row r="266" s="139" customFormat="1"/>
    <row r="267" s="139" customFormat="1"/>
    <row r="268" s="139" customFormat="1"/>
    <row r="269" s="139" customFormat="1"/>
    <row r="270" s="139" customFormat="1"/>
    <row r="271" s="139" customFormat="1"/>
    <row r="272" s="139" customFormat="1"/>
    <row r="273" s="139" customFormat="1"/>
    <row r="274" s="139" customFormat="1"/>
    <row r="275" s="139" customFormat="1"/>
    <row r="276" s="139" customFormat="1"/>
    <row r="277" s="139" customFormat="1"/>
    <row r="278" s="139" customFormat="1"/>
    <row r="279" s="139" customFormat="1"/>
    <row r="280" s="139" customFormat="1"/>
    <row r="281" s="139" customFormat="1"/>
    <row r="282" s="139" customFormat="1"/>
    <row r="283" s="139" customFormat="1"/>
    <row r="284" s="139" customFormat="1"/>
    <row r="285" s="139" customFormat="1"/>
    <row r="286" s="139" customFormat="1"/>
    <row r="287" s="139" customFormat="1"/>
    <row r="288" s="139" customFormat="1"/>
    <row r="289" s="139" customFormat="1"/>
    <row r="290" s="139" customFormat="1"/>
    <row r="291" s="139" customFormat="1"/>
    <row r="292" s="139" customFormat="1"/>
    <row r="293" s="139" customFormat="1"/>
    <row r="294" s="139" customFormat="1"/>
    <row r="295" s="139" customFormat="1"/>
    <row r="296" s="139" customFormat="1"/>
    <row r="297" s="139" customFormat="1"/>
    <row r="298" s="139" customFormat="1"/>
    <row r="299" s="139" customFormat="1"/>
    <row r="300" s="139" customFormat="1"/>
    <row r="301" s="139" customFormat="1"/>
    <row r="302" s="139" customFormat="1"/>
    <row r="303" s="139" customFormat="1"/>
    <row r="304" s="139" customFormat="1"/>
    <row r="305" s="139" customFormat="1"/>
    <row r="306" s="139" customFormat="1"/>
    <row r="307" s="139" customFormat="1"/>
    <row r="308" s="139" customFormat="1"/>
    <row r="309" s="139" customFormat="1"/>
    <row r="310" s="139" customFormat="1"/>
    <row r="311" s="139" customFormat="1"/>
    <row r="312" s="139" customFormat="1"/>
    <row r="313" s="139" customFormat="1"/>
    <row r="314" s="139" customFormat="1"/>
    <row r="315" s="139" customFormat="1"/>
    <row r="316" s="139" customFormat="1"/>
    <row r="317" s="139" customFormat="1"/>
    <row r="318" s="139" customFormat="1"/>
    <row r="319" s="139" customFormat="1"/>
    <row r="320" s="139" customFormat="1"/>
    <row r="321" s="139" customFormat="1"/>
    <row r="322" s="139" customFormat="1"/>
    <row r="323" s="139" customFormat="1"/>
    <row r="324" s="139" customFormat="1"/>
    <row r="325" s="139" customFormat="1"/>
    <row r="326" s="139" customFormat="1"/>
    <row r="327" s="139" customFormat="1"/>
    <row r="328" s="139" customFormat="1"/>
    <row r="329" s="139" customFormat="1"/>
    <row r="330" s="139" customFormat="1"/>
    <row r="331" s="139" customFormat="1"/>
    <row r="332" s="139" customFormat="1"/>
    <row r="333" s="139" customFormat="1"/>
    <row r="334" s="139" customFormat="1"/>
    <row r="335" s="139" customFormat="1"/>
    <row r="336" s="139" customFormat="1"/>
    <row r="337" s="139" customFormat="1"/>
    <row r="338" s="139" customFormat="1"/>
    <row r="339" s="139" customFormat="1"/>
    <row r="340" s="139" customFormat="1"/>
    <row r="341" s="139" customFormat="1"/>
    <row r="342" s="139" customFormat="1"/>
    <row r="343" s="139" customFormat="1"/>
    <row r="344" s="139" customFormat="1"/>
    <row r="345" s="139" customFormat="1"/>
    <row r="346" s="139" customFormat="1"/>
    <row r="347" s="139" customFormat="1"/>
    <row r="348" s="139" customFormat="1"/>
    <row r="349" s="139" customFormat="1"/>
    <row r="350" s="139" customFormat="1"/>
    <row r="351" s="139" customFormat="1"/>
    <row r="352" s="139" customFormat="1"/>
    <row r="353" s="139" customFormat="1"/>
    <row r="354" s="139" customFormat="1"/>
    <row r="355" s="139" customFormat="1"/>
    <row r="356" s="139" customFormat="1"/>
    <row r="357" s="139" customFormat="1"/>
    <row r="358" s="139" customFormat="1"/>
    <row r="359" s="139" customFormat="1"/>
    <row r="360" s="139" customFormat="1"/>
    <row r="361" s="139" customFormat="1"/>
    <row r="362" s="139" customFormat="1"/>
    <row r="363" s="139" customFormat="1"/>
    <row r="364" s="139" customFormat="1"/>
    <row r="365" s="139" customFormat="1"/>
    <row r="366" s="139" customFormat="1"/>
    <row r="367" s="139" customFormat="1"/>
    <row r="368" s="139" customFormat="1"/>
    <row r="369" s="139" customFormat="1"/>
    <row r="370" s="139" customFormat="1"/>
    <row r="371" s="139" customFormat="1"/>
    <row r="372" s="139" customFormat="1"/>
    <row r="373" s="139" customFormat="1"/>
    <row r="374" s="139" customFormat="1"/>
    <row r="375" s="139" customFormat="1"/>
    <row r="376" s="139" customFormat="1"/>
    <row r="377" s="139" customFormat="1"/>
    <row r="378" s="139" customFormat="1"/>
    <row r="379" s="139" customFormat="1"/>
    <row r="380" s="139" customFormat="1"/>
    <row r="381" s="139" customFormat="1"/>
    <row r="382" s="139" customFormat="1"/>
    <row r="383" s="139" customFormat="1"/>
    <row r="384" s="139" customFormat="1"/>
    <row r="385" s="139" customFormat="1"/>
    <row r="386" s="139" customFormat="1"/>
    <row r="387" s="139" customFormat="1"/>
    <row r="388" s="139" customFormat="1"/>
    <row r="389" s="139" customFormat="1"/>
    <row r="390" s="139" customFormat="1"/>
    <row r="391" s="139" customFormat="1"/>
    <row r="392" s="139" customFormat="1"/>
    <row r="393" s="139" customFormat="1"/>
    <row r="394" s="139" customFormat="1"/>
    <row r="395" s="139" customFormat="1"/>
    <row r="396" s="139" customFormat="1"/>
    <row r="397" s="139" customFormat="1"/>
    <row r="398" s="139" customFormat="1"/>
    <row r="399" s="139" customFormat="1"/>
    <row r="400" s="139" customFormat="1"/>
    <row r="401" s="139" customFormat="1"/>
    <row r="402" s="139" customFormat="1"/>
    <row r="403" s="139" customFormat="1"/>
    <row r="404" s="139" customFormat="1"/>
    <row r="405" s="139" customFormat="1"/>
    <row r="406" s="139" customFormat="1"/>
    <row r="407" s="139" customFormat="1"/>
    <row r="408" s="139" customFormat="1"/>
    <row r="409" s="139" customFormat="1"/>
    <row r="410" s="139" customFormat="1"/>
    <row r="411" s="139" customFormat="1"/>
    <row r="412" s="139" customFormat="1"/>
    <row r="413" s="139" customFormat="1"/>
    <row r="414" s="139" customFormat="1"/>
    <row r="415" s="139" customFormat="1"/>
    <row r="416" s="139" customFormat="1"/>
    <row r="417" s="139" customFormat="1"/>
    <row r="418" s="139" customFormat="1"/>
    <row r="419" s="139" customFormat="1"/>
    <row r="420" s="139" customFormat="1"/>
    <row r="421" s="139" customFormat="1"/>
    <row r="422" s="139" customFormat="1"/>
    <row r="423" s="139" customFormat="1"/>
    <row r="424" s="139" customFormat="1"/>
    <row r="425" s="139" customFormat="1"/>
    <row r="426" s="139" customFormat="1"/>
    <row r="427" s="139" customFormat="1"/>
    <row r="428" s="139" customFormat="1"/>
  </sheetData>
  <mergeCells count="65">
    <mergeCell ref="V32:X32"/>
    <mergeCell ref="Y32:AA32"/>
    <mergeCell ref="D31:G31"/>
    <mergeCell ref="H31:J31"/>
    <mergeCell ref="K31:M31"/>
    <mergeCell ref="O31:U31"/>
    <mergeCell ref="V31:X31"/>
    <mergeCell ref="Y31:AA31"/>
    <mergeCell ref="D32:G32"/>
    <mergeCell ref="H32:J32"/>
    <mergeCell ref="K32:M32"/>
    <mergeCell ref="O32:U32"/>
    <mergeCell ref="D30:G30"/>
    <mergeCell ref="H30:J30"/>
    <mergeCell ref="K30:M30"/>
    <mergeCell ref="O30:U30"/>
    <mergeCell ref="Y28:AA28"/>
    <mergeCell ref="H28:J28"/>
    <mergeCell ref="K28:M28"/>
    <mergeCell ref="V28:X28"/>
    <mergeCell ref="H29:J29"/>
    <mergeCell ref="K29:M29"/>
    <mergeCell ref="O29:U29"/>
    <mergeCell ref="V29:X29"/>
    <mergeCell ref="Y29:AA29"/>
    <mergeCell ref="V30:X30"/>
    <mergeCell ref="Y30:AA30"/>
    <mergeCell ref="D29:G29"/>
    <mergeCell ref="C23:F24"/>
    <mergeCell ref="C25:F26"/>
    <mergeCell ref="F9:F22"/>
    <mergeCell ref="C9:C10"/>
    <mergeCell ref="D9:D10"/>
    <mergeCell ref="C17:C18"/>
    <mergeCell ref="D17:D18"/>
    <mergeCell ref="E17:E18"/>
    <mergeCell ref="C11:C12"/>
    <mergeCell ref="D11:D12"/>
    <mergeCell ref="H17:J18"/>
    <mergeCell ref="C19:C20"/>
    <mergeCell ref="D19:D20"/>
    <mergeCell ref="E19:E20"/>
    <mergeCell ref="N19:N20"/>
    <mergeCell ref="C2:N2"/>
    <mergeCell ref="C5:C6"/>
    <mergeCell ref="D5:D6"/>
    <mergeCell ref="E5:E6"/>
    <mergeCell ref="F5:F6"/>
    <mergeCell ref="K3:R3"/>
    <mergeCell ref="O19:P20"/>
    <mergeCell ref="R21:R22"/>
    <mergeCell ref="F7:F8"/>
    <mergeCell ref="C7:C8"/>
    <mergeCell ref="D7:D8"/>
    <mergeCell ref="E7:E8"/>
    <mergeCell ref="C13:C14"/>
    <mergeCell ref="D13:D14"/>
    <mergeCell ref="E13:E14"/>
    <mergeCell ref="C15:C16"/>
    <mergeCell ref="D15:D16"/>
    <mergeCell ref="E15:E16"/>
    <mergeCell ref="C21:C22"/>
    <mergeCell ref="D21:D22"/>
    <mergeCell ref="E21:E22"/>
    <mergeCell ref="H15:J16"/>
  </mergeCells>
  <phoneticPr fontId="10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E15FE-5B74-4B7B-96CD-E0D44E327410}">
  <sheetPr codeName="Sheet6"/>
  <dimension ref="B1:AB428"/>
  <sheetViews>
    <sheetView showGridLines="0" zoomScale="85" zoomScaleNormal="85" workbookViewId="0">
      <selection activeCell="AD7" sqref="AD7"/>
    </sheetView>
  </sheetViews>
  <sheetFormatPr defaultColWidth="8.85546875" defaultRowHeight="19.5"/>
  <cols>
    <col min="1" max="2" width="8.85546875" style="1"/>
    <col min="3" max="3" width="4.5703125" style="1" bestFit="1" customWidth="1"/>
    <col min="4" max="4" width="15.42578125" style="86" customWidth="1"/>
    <col min="5" max="5" width="17.140625" style="1" customWidth="1"/>
    <col min="6" max="6" width="9.5703125" style="1" customWidth="1"/>
    <col min="7" max="7" width="7.140625" style="1" customWidth="1"/>
    <col min="8" max="9" width="5.42578125" style="1" hidden="1" customWidth="1"/>
    <col min="10" max="12" width="6.28515625" style="1" hidden="1" customWidth="1"/>
    <col min="13" max="13" width="11.42578125" style="110" hidden="1" customWidth="1"/>
    <col min="14" max="14" width="9.140625" style="1" customWidth="1"/>
    <col min="15" max="18" width="8.85546875" style="1" customWidth="1"/>
    <col min="19" max="19" width="11.28515625" style="1" customWidth="1"/>
    <col min="20" max="20" width="11.42578125" style="110" hidden="1" customWidth="1"/>
    <col min="21" max="21" width="8.42578125" style="1" bestFit="1" customWidth="1"/>
    <col min="22" max="22" width="9.85546875" style="1" customWidth="1"/>
    <col min="23" max="23" width="11.5703125" style="1" bestFit="1" customWidth="1"/>
    <col min="24" max="24" width="9.42578125" style="1" customWidth="1"/>
    <col min="25" max="25" width="8.5703125" style="1" customWidth="1"/>
    <col min="26" max="26" width="8.7109375" style="1" customWidth="1"/>
    <col min="27" max="27" width="11.42578125" style="110" customWidth="1"/>
    <col min="28" max="32" width="8.85546875" style="1"/>
    <col min="33" max="33" width="10" style="1" bestFit="1" customWidth="1"/>
    <col min="34" max="16384" width="8.85546875" style="1"/>
  </cols>
  <sheetData>
    <row r="1" spans="2:28"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2:28" ht="38.25">
      <c r="C2" s="551" t="s">
        <v>71</v>
      </c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99"/>
      <c r="P2" s="99"/>
      <c r="Q2" s="99"/>
      <c r="R2" s="99"/>
      <c r="S2" s="140"/>
      <c r="T2" s="139"/>
      <c r="U2" s="140"/>
      <c r="V2" s="140"/>
      <c r="W2" s="140"/>
      <c r="X2" s="140"/>
      <c r="Y2" s="140"/>
      <c r="Z2" s="139"/>
      <c r="AA2" s="139"/>
      <c r="AB2" s="139"/>
    </row>
    <row r="3" spans="2:28" ht="25.5" thickBot="1">
      <c r="K3" s="637" t="s">
        <v>125</v>
      </c>
      <c r="L3" s="637"/>
      <c r="M3" s="637"/>
      <c r="N3" s="637"/>
      <c r="O3" s="637"/>
      <c r="P3" s="637"/>
      <c r="Q3" s="637"/>
      <c r="R3" s="637"/>
      <c r="S3" s="139"/>
      <c r="T3" s="139" t="s">
        <v>126</v>
      </c>
      <c r="U3" s="139"/>
      <c r="V3" s="139"/>
      <c r="W3" s="139"/>
      <c r="X3" s="139"/>
      <c r="Y3" s="139"/>
      <c r="Z3" s="139"/>
      <c r="AA3" s="198" t="s">
        <v>127</v>
      </c>
      <c r="AB3" s="139"/>
    </row>
    <row r="4" spans="2:28" ht="38.25" customHeight="1" thickBot="1">
      <c r="C4" s="45" t="s">
        <v>73</v>
      </c>
      <c r="D4" s="181" t="s">
        <v>7</v>
      </c>
      <c r="E4" s="46" t="s">
        <v>106</v>
      </c>
      <c r="F4" s="134" t="s">
        <v>107</v>
      </c>
      <c r="G4" s="46"/>
      <c r="H4" s="46" t="s">
        <v>8</v>
      </c>
      <c r="I4" s="46" t="s">
        <v>9</v>
      </c>
      <c r="J4" s="46" t="s">
        <v>10</v>
      </c>
      <c r="K4" s="46" t="s">
        <v>11</v>
      </c>
      <c r="L4" s="46" t="s">
        <v>74</v>
      </c>
      <c r="M4" s="105" t="s">
        <v>13</v>
      </c>
      <c r="N4" s="46" t="s">
        <v>14</v>
      </c>
      <c r="O4" s="46" t="s">
        <v>75</v>
      </c>
      <c r="P4" s="46" t="s">
        <v>76</v>
      </c>
      <c r="Q4" s="46" t="s">
        <v>77</v>
      </c>
      <c r="R4" s="46" t="s">
        <v>78</v>
      </c>
      <c r="S4" s="46" t="s">
        <v>79</v>
      </c>
      <c r="T4" s="148" t="s">
        <v>13</v>
      </c>
      <c r="U4" s="145" t="s">
        <v>80</v>
      </c>
      <c r="V4" s="46" t="s">
        <v>81</v>
      </c>
      <c r="W4" s="46" t="s">
        <v>82</v>
      </c>
      <c r="X4" s="46" t="s">
        <v>83</v>
      </c>
      <c r="Y4" s="46" t="s">
        <v>84</v>
      </c>
      <c r="Z4" s="163" t="s">
        <v>74</v>
      </c>
      <c r="AA4" s="148" t="s">
        <v>13</v>
      </c>
    </row>
    <row r="5" spans="2:28" ht="27" customHeight="1">
      <c r="B5" s="2"/>
      <c r="C5" s="596">
        <v>1</v>
      </c>
      <c r="D5" s="657" t="s">
        <v>128</v>
      </c>
      <c r="E5" s="137" t="s">
        <v>89</v>
      </c>
      <c r="F5" s="604" t="s">
        <v>129</v>
      </c>
      <c r="G5" s="35" t="s">
        <v>86</v>
      </c>
      <c r="H5" s="35">
        <v>0</v>
      </c>
      <c r="I5" s="35">
        <v>50</v>
      </c>
      <c r="J5" s="35">
        <v>50</v>
      </c>
      <c r="K5" s="35">
        <v>100</v>
      </c>
      <c r="L5" s="35">
        <v>100</v>
      </c>
      <c r="M5" s="108">
        <f t="shared" ref="M5" si="0">SUM(H5:L5)</f>
        <v>300</v>
      </c>
      <c r="N5" s="220">
        <v>160</v>
      </c>
      <c r="O5" s="220">
        <v>160</v>
      </c>
      <c r="P5" s="220">
        <v>160</v>
      </c>
      <c r="Q5" s="220">
        <v>160</v>
      </c>
      <c r="R5" s="220">
        <v>160</v>
      </c>
      <c r="S5" s="220">
        <v>160</v>
      </c>
      <c r="T5" s="219">
        <f t="shared" ref="T5:T15" si="1">SUM(N5:S5)</f>
        <v>960</v>
      </c>
      <c r="U5" s="220">
        <v>160</v>
      </c>
      <c r="V5" s="220">
        <v>160</v>
      </c>
      <c r="W5" s="220">
        <v>160</v>
      </c>
      <c r="X5" s="220">
        <v>160</v>
      </c>
      <c r="Y5" s="220">
        <v>160</v>
      </c>
      <c r="Z5" s="220">
        <v>160</v>
      </c>
      <c r="AA5" s="203">
        <f>SUM(T5:Z5)</f>
        <v>1920</v>
      </c>
    </row>
    <row r="6" spans="2:28" ht="27" customHeight="1">
      <c r="B6" s="2"/>
      <c r="C6" s="597"/>
      <c r="D6" s="658"/>
      <c r="E6" s="135" t="s">
        <v>90</v>
      </c>
      <c r="F6" s="659"/>
      <c r="G6" s="166" t="s">
        <v>87</v>
      </c>
      <c r="H6" s="35"/>
      <c r="I6" s="35"/>
      <c r="J6" s="35"/>
      <c r="K6" s="35"/>
      <c r="L6" s="35"/>
      <c r="M6" s="108"/>
      <c r="N6" s="220"/>
      <c r="O6" s="220"/>
      <c r="P6" s="220"/>
      <c r="Q6" s="220"/>
      <c r="R6" s="220"/>
      <c r="S6" s="220"/>
      <c r="T6" s="219"/>
      <c r="U6" s="221"/>
      <c r="V6" s="220"/>
      <c r="W6" s="220"/>
      <c r="X6" s="220"/>
      <c r="Y6" s="220"/>
      <c r="Z6" s="220"/>
      <c r="AA6" s="205">
        <f>SUM(T6:Z6)</f>
        <v>0</v>
      </c>
    </row>
    <row r="7" spans="2:28" ht="27" customHeight="1">
      <c r="B7" s="2"/>
      <c r="C7" s="596">
        <f>C5+1</f>
        <v>2</v>
      </c>
      <c r="D7" s="660" t="s">
        <v>113</v>
      </c>
      <c r="E7" s="137" t="s">
        <v>89</v>
      </c>
      <c r="F7" s="604" t="s">
        <v>112</v>
      </c>
      <c r="G7" s="35" t="s">
        <v>86</v>
      </c>
      <c r="H7" s="35">
        <v>0</v>
      </c>
      <c r="I7" s="35">
        <v>50</v>
      </c>
      <c r="J7" s="35">
        <v>50</v>
      </c>
      <c r="K7" s="35">
        <v>100</v>
      </c>
      <c r="L7" s="35">
        <v>100</v>
      </c>
      <c r="M7" s="108">
        <f t="shared" ref="M7" si="2">SUM(H7:L7)</f>
        <v>300</v>
      </c>
      <c r="N7" s="220">
        <v>190</v>
      </c>
      <c r="O7" s="220">
        <v>220</v>
      </c>
      <c r="P7" s="220">
        <v>250</v>
      </c>
      <c r="Q7" s="220">
        <v>280</v>
      </c>
      <c r="R7" s="220">
        <v>310</v>
      </c>
      <c r="S7" s="220">
        <v>320</v>
      </c>
      <c r="T7" s="222">
        <f>SUM(N7:S7)</f>
        <v>1570</v>
      </c>
      <c r="U7" s="220">
        <v>320</v>
      </c>
      <c r="V7" s="220">
        <v>320</v>
      </c>
      <c r="W7" s="220">
        <v>320</v>
      </c>
      <c r="X7" s="220">
        <v>320</v>
      </c>
      <c r="Y7" s="220">
        <v>320</v>
      </c>
      <c r="Z7" s="220">
        <v>320</v>
      </c>
      <c r="AA7" s="203">
        <f>SUM(T7:Z7)</f>
        <v>3490</v>
      </c>
    </row>
    <row r="8" spans="2:28" ht="27" customHeight="1">
      <c r="B8" s="2"/>
      <c r="C8" s="597"/>
      <c r="D8" s="661"/>
      <c r="E8" s="135" t="s">
        <v>90</v>
      </c>
      <c r="F8" s="605"/>
      <c r="G8" s="166" t="s">
        <v>87</v>
      </c>
      <c r="H8" s="35"/>
      <c r="I8" s="35"/>
      <c r="J8" s="35"/>
      <c r="K8" s="35"/>
      <c r="L8" s="35"/>
      <c r="M8" s="108"/>
      <c r="N8" s="220"/>
      <c r="O8" s="220"/>
      <c r="P8" s="220"/>
      <c r="Q8" s="220"/>
      <c r="R8" s="220"/>
      <c r="S8" s="220"/>
      <c r="T8" s="222"/>
      <c r="U8" s="220"/>
      <c r="V8" s="220"/>
      <c r="W8" s="220"/>
      <c r="X8" s="220"/>
      <c r="Y8" s="220"/>
      <c r="Z8" s="220"/>
      <c r="AA8" s="205">
        <f t="shared" ref="AA8:AA18" si="3">SUM(T8:Z8)</f>
        <v>0</v>
      </c>
    </row>
    <row r="9" spans="2:28" ht="27" customHeight="1">
      <c r="B9" s="2"/>
      <c r="C9" s="596">
        <f t="shared" ref="C9" si="4">C7+1</f>
        <v>3</v>
      </c>
      <c r="D9" s="657" t="s">
        <v>130</v>
      </c>
      <c r="E9" s="627" t="s">
        <v>114</v>
      </c>
      <c r="F9" s="604" t="s">
        <v>112</v>
      </c>
      <c r="G9" s="43" t="s">
        <v>86</v>
      </c>
      <c r="H9" s="35">
        <v>0</v>
      </c>
      <c r="I9" s="35">
        <v>150</v>
      </c>
      <c r="J9" s="35">
        <v>150</v>
      </c>
      <c r="K9" s="35">
        <v>0</v>
      </c>
      <c r="L9" s="35">
        <v>0</v>
      </c>
      <c r="M9" s="108">
        <f t="shared" ref="M9" si="5">SUM(H9:L9)</f>
        <v>300</v>
      </c>
      <c r="N9" s="220">
        <v>0</v>
      </c>
      <c r="O9" s="220">
        <v>50</v>
      </c>
      <c r="P9" s="220">
        <v>50</v>
      </c>
      <c r="Q9" s="220">
        <v>50</v>
      </c>
      <c r="R9" s="220">
        <v>50</v>
      </c>
      <c r="S9" s="220">
        <v>50</v>
      </c>
      <c r="T9" s="219">
        <f t="shared" si="1"/>
        <v>250</v>
      </c>
      <c r="U9" s="220">
        <v>50</v>
      </c>
      <c r="V9" s="220">
        <v>50</v>
      </c>
      <c r="W9" s="220">
        <v>50</v>
      </c>
      <c r="X9" s="220">
        <v>50</v>
      </c>
      <c r="Y9" s="220">
        <v>50</v>
      </c>
      <c r="Z9" s="220">
        <v>50</v>
      </c>
      <c r="AA9" s="203">
        <f>SUM(T9:Z9)</f>
        <v>550</v>
      </c>
    </row>
    <row r="10" spans="2:28" ht="27" customHeight="1">
      <c r="B10" s="2"/>
      <c r="C10" s="597"/>
      <c r="D10" s="658"/>
      <c r="E10" s="628"/>
      <c r="F10" s="659"/>
      <c r="G10" s="166" t="s">
        <v>99</v>
      </c>
      <c r="H10" s="72">
        <v>3</v>
      </c>
      <c r="I10" s="69">
        <v>74</v>
      </c>
      <c r="J10" s="69">
        <v>109</v>
      </c>
      <c r="K10" s="72">
        <v>150</v>
      </c>
      <c r="L10" s="72">
        <v>446</v>
      </c>
      <c r="M10" s="108"/>
      <c r="N10" s="220"/>
      <c r="O10" s="220"/>
      <c r="P10" s="220"/>
      <c r="Q10" s="220"/>
      <c r="R10" s="220"/>
      <c r="S10" s="220"/>
      <c r="T10" s="219"/>
      <c r="U10" s="221"/>
      <c r="V10" s="221"/>
      <c r="W10" s="220"/>
      <c r="X10" s="220"/>
      <c r="Y10" s="223"/>
      <c r="Z10" s="223"/>
      <c r="AA10" s="205">
        <f>SUM(T10:Z10)</f>
        <v>0</v>
      </c>
    </row>
    <row r="11" spans="2:28" ht="27" customHeight="1">
      <c r="B11" s="2"/>
      <c r="C11" s="596">
        <f t="shared" ref="C11" si="6">C9+1</f>
        <v>4</v>
      </c>
      <c r="D11" s="657" t="s">
        <v>131</v>
      </c>
      <c r="E11" s="626" t="s">
        <v>115</v>
      </c>
      <c r="F11" s="604" t="s">
        <v>112</v>
      </c>
      <c r="G11" s="35" t="s">
        <v>86</v>
      </c>
      <c r="H11" s="606" t="s">
        <v>98</v>
      </c>
      <c r="I11" s="607"/>
      <c r="J11" s="608"/>
      <c r="K11" s="35"/>
      <c r="L11" s="35"/>
      <c r="M11" s="108"/>
      <c r="N11" s="220">
        <v>100</v>
      </c>
      <c r="O11" s="220">
        <v>100</v>
      </c>
      <c r="P11" s="220">
        <v>160</v>
      </c>
      <c r="Q11" s="220">
        <v>160</v>
      </c>
      <c r="R11" s="220">
        <v>160</v>
      </c>
      <c r="S11" s="220">
        <v>160</v>
      </c>
      <c r="T11" s="219">
        <f t="shared" si="1"/>
        <v>840</v>
      </c>
      <c r="U11" s="220">
        <v>160</v>
      </c>
      <c r="V11" s="220">
        <v>160</v>
      </c>
      <c r="W11" s="220">
        <v>160</v>
      </c>
      <c r="X11" s="220">
        <v>160</v>
      </c>
      <c r="Y11" s="220">
        <v>160</v>
      </c>
      <c r="Z11" s="220">
        <v>160</v>
      </c>
      <c r="AA11" s="203">
        <f>SUM(T11:Z11)</f>
        <v>1800</v>
      </c>
    </row>
    <row r="12" spans="2:28" ht="27" customHeight="1">
      <c r="B12" s="2"/>
      <c r="C12" s="597"/>
      <c r="D12" s="578"/>
      <c r="E12" s="626"/>
      <c r="F12" s="659"/>
      <c r="G12" s="168" t="s">
        <v>99</v>
      </c>
      <c r="H12" s="609"/>
      <c r="I12" s="610"/>
      <c r="J12" s="611"/>
      <c r="K12" s="35"/>
      <c r="L12" s="35"/>
      <c r="M12" s="108"/>
      <c r="N12" s="220"/>
      <c r="O12" s="220"/>
      <c r="P12" s="220"/>
      <c r="Q12" s="224"/>
      <c r="R12" s="220"/>
      <c r="S12" s="220"/>
      <c r="T12" s="219"/>
      <c r="U12" s="221"/>
      <c r="V12" s="220"/>
      <c r="W12" s="220"/>
      <c r="X12" s="220"/>
      <c r="Y12" s="220"/>
      <c r="Z12" s="220"/>
      <c r="AA12" s="205">
        <f t="shared" si="3"/>
        <v>0</v>
      </c>
    </row>
    <row r="13" spans="2:28" ht="27" customHeight="1">
      <c r="B13" s="2"/>
      <c r="C13" s="596">
        <f t="shared" ref="C13" si="7">C11+1</f>
        <v>5</v>
      </c>
      <c r="D13" s="662" t="s">
        <v>132</v>
      </c>
      <c r="E13" s="655" t="s">
        <v>133</v>
      </c>
      <c r="F13" s="604" t="s">
        <v>129</v>
      </c>
      <c r="G13" s="169" t="s">
        <v>86</v>
      </c>
      <c r="H13" s="612" t="s">
        <v>101</v>
      </c>
      <c r="I13" s="613"/>
      <c r="J13" s="614"/>
      <c r="K13" s="35"/>
      <c r="L13" s="35"/>
      <c r="M13" s="108"/>
      <c r="N13" s="220">
        <v>100</v>
      </c>
      <c r="O13" s="220">
        <v>100</v>
      </c>
      <c r="P13" s="220">
        <v>160</v>
      </c>
      <c r="Q13" s="220">
        <v>160</v>
      </c>
      <c r="R13" s="220">
        <v>160</v>
      </c>
      <c r="S13" s="220">
        <v>160</v>
      </c>
      <c r="T13" s="219">
        <f t="shared" si="1"/>
        <v>840</v>
      </c>
      <c r="U13" s="220">
        <v>160</v>
      </c>
      <c r="V13" s="220">
        <v>160</v>
      </c>
      <c r="W13" s="220">
        <v>160</v>
      </c>
      <c r="X13" s="220">
        <v>160</v>
      </c>
      <c r="Y13" s="220">
        <v>160</v>
      </c>
      <c r="Z13" s="220">
        <v>160</v>
      </c>
      <c r="AA13" s="203">
        <f>SUM(X13:Z13)+T14</f>
        <v>480</v>
      </c>
    </row>
    <row r="14" spans="2:28" ht="27" customHeight="1">
      <c r="B14" s="2"/>
      <c r="C14" s="597"/>
      <c r="D14" s="663"/>
      <c r="E14" s="655"/>
      <c r="F14" s="659"/>
      <c r="G14" s="168" t="s">
        <v>99</v>
      </c>
      <c r="H14" s="612"/>
      <c r="I14" s="613"/>
      <c r="J14" s="614"/>
      <c r="K14" s="35"/>
      <c r="L14" s="35"/>
      <c r="M14" s="108"/>
      <c r="N14" s="220"/>
      <c r="O14" s="220"/>
      <c r="P14" s="220"/>
      <c r="Q14" s="224"/>
      <c r="R14" s="220"/>
      <c r="S14" s="220"/>
      <c r="T14" s="222"/>
      <c r="U14" s="220"/>
      <c r="V14" s="220"/>
      <c r="W14" s="220"/>
      <c r="X14" s="220"/>
      <c r="Y14" s="220"/>
      <c r="Z14" s="220"/>
      <c r="AA14" s="205">
        <f t="shared" si="3"/>
        <v>0</v>
      </c>
    </row>
    <row r="15" spans="2:28" ht="27" customHeight="1">
      <c r="B15" s="2"/>
      <c r="C15" s="596">
        <f t="shared" ref="C15" si="8">C13+1</f>
        <v>6</v>
      </c>
      <c r="D15" s="664" t="s">
        <v>134</v>
      </c>
      <c r="E15" s="633" t="s">
        <v>135</v>
      </c>
      <c r="F15" s="604" t="s">
        <v>112</v>
      </c>
      <c r="G15" s="169" t="s">
        <v>86</v>
      </c>
      <c r="H15" s="83"/>
      <c r="I15" s="84"/>
      <c r="J15" s="85"/>
      <c r="K15" s="62"/>
      <c r="L15" s="62"/>
      <c r="M15" s="109"/>
      <c r="N15" s="220" t="s">
        <v>136</v>
      </c>
      <c r="O15" s="220" t="s">
        <v>136</v>
      </c>
      <c r="P15" s="220">
        <v>100</v>
      </c>
      <c r="Q15" s="220">
        <v>150</v>
      </c>
      <c r="R15" s="220">
        <v>200</v>
      </c>
      <c r="S15" s="220">
        <v>320</v>
      </c>
      <c r="T15" s="225">
        <f t="shared" si="1"/>
        <v>770</v>
      </c>
      <c r="U15" s="220">
        <v>320</v>
      </c>
      <c r="V15" s="220">
        <v>320</v>
      </c>
      <c r="W15" s="220">
        <v>320</v>
      </c>
      <c r="X15" s="220">
        <v>320</v>
      </c>
      <c r="Y15" s="220">
        <v>320</v>
      </c>
      <c r="Z15" s="220">
        <v>320</v>
      </c>
      <c r="AA15" s="203">
        <f>SUM(V15:Z15)</f>
        <v>1600</v>
      </c>
    </row>
    <row r="16" spans="2:28" ht="27" customHeight="1">
      <c r="B16" s="2"/>
      <c r="C16" s="597"/>
      <c r="D16" s="665"/>
      <c r="E16" s="666"/>
      <c r="F16" s="659"/>
      <c r="G16" s="168" t="s">
        <v>99</v>
      </c>
      <c r="H16" s="83"/>
      <c r="I16" s="84"/>
      <c r="J16" s="85"/>
      <c r="K16" s="62"/>
      <c r="L16" s="62"/>
      <c r="M16" s="109"/>
      <c r="N16" s="220"/>
      <c r="O16" s="220"/>
      <c r="P16" s="220"/>
      <c r="Q16" s="220"/>
      <c r="R16" s="220"/>
      <c r="S16" s="220"/>
      <c r="T16" s="226"/>
      <c r="U16" s="221"/>
      <c r="V16" s="220"/>
      <c r="W16" s="220"/>
      <c r="X16" s="220"/>
      <c r="Y16" s="220"/>
      <c r="Z16" s="220"/>
      <c r="AA16" s="205">
        <f t="shared" si="3"/>
        <v>0</v>
      </c>
    </row>
    <row r="17" spans="2:27" ht="27" customHeight="1">
      <c r="B17" s="2"/>
      <c r="C17" s="596">
        <f t="shared" ref="C17" si="9">C15+1</f>
        <v>7</v>
      </c>
      <c r="D17" s="664" t="s">
        <v>137</v>
      </c>
      <c r="E17" s="633" t="s">
        <v>138</v>
      </c>
      <c r="F17" s="604" t="s">
        <v>110</v>
      </c>
      <c r="G17" s="169" t="s">
        <v>86</v>
      </c>
      <c r="H17" s="83"/>
      <c r="I17" s="84"/>
      <c r="J17" s="85"/>
      <c r="K17" s="62"/>
      <c r="L17" s="62"/>
      <c r="M17" s="109"/>
      <c r="N17" s="220" t="s">
        <v>136</v>
      </c>
      <c r="O17" s="220" t="s">
        <v>136</v>
      </c>
      <c r="P17" s="220">
        <v>100</v>
      </c>
      <c r="Q17" s="220">
        <v>160</v>
      </c>
      <c r="R17" s="220">
        <v>160</v>
      </c>
      <c r="S17" s="220">
        <v>160</v>
      </c>
      <c r="T17" s="222">
        <f t="shared" ref="T17" si="10">SUM(N17:S17)</f>
        <v>580</v>
      </c>
      <c r="U17" s="220">
        <v>160</v>
      </c>
      <c r="V17" s="220">
        <v>160</v>
      </c>
      <c r="W17" s="220">
        <v>160</v>
      </c>
      <c r="X17" s="220">
        <v>160</v>
      </c>
      <c r="Y17" s="220">
        <v>160</v>
      </c>
      <c r="Z17" s="220">
        <v>160</v>
      </c>
      <c r="AA17" s="203">
        <f>SUM(W17:Z17)</f>
        <v>640</v>
      </c>
    </row>
    <row r="18" spans="2:27" ht="27" customHeight="1">
      <c r="B18" s="2"/>
      <c r="C18" s="597"/>
      <c r="D18" s="665"/>
      <c r="E18" s="666"/>
      <c r="F18" s="541"/>
      <c r="G18" s="168" t="s">
        <v>99</v>
      </c>
      <c r="H18" s="83"/>
      <c r="I18" s="84"/>
      <c r="J18" s="85"/>
      <c r="K18" s="62"/>
      <c r="L18" s="62"/>
      <c r="M18" s="109"/>
      <c r="N18" s="220"/>
      <c r="O18" s="220"/>
      <c r="P18" s="220"/>
      <c r="Q18" s="220"/>
      <c r="R18" s="220"/>
      <c r="S18" s="220"/>
      <c r="T18" s="226"/>
      <c r="U18" s="221"/>
      <c r="V18" s="220"/>
      <c r="W18" s="220"/>
      <c r="X18" s="220"/>
      <c r="Y18" s="220"/>
      <c r="Z18" s="220"/>
      <c r="AA18" s="205">
        <f t="shared" si="3"/>
        <v>0</v>
      </c>
    </row>
    <row r="19" spans="2:27" ht="19.5" customHeight="1">
      <c r="B19" s="2"/>
      <c r="C19" s="645" t="s">
        <v>122</v>
      </c>
      <c r="D19" s="646"/>
      <c r="E19" s="646"/>
      <c r="F19" s="647"/>
      <c r="G19" s="12" t="s">
        <v>86</v>
      </c>
      <c r="H19" s="12">
        <f>SUMIF(G5:G18,"計画",H5:H18)</f>
        <v>0</v>
      </c>
      <c r="I19" s="12">
        <f>SUMIF(G5:G18,"計画",I5:I18)</f>
        <v>250</v>
      </c>
      <c r="J19" s="12">
        <f>SUMIF(G5:G18,"計画",J5:J18)</f>
        <v>250</v>
      </c>
      <c r="K19" s="12">
        <f ca="1">SUMIF(G5:J18,"計画",K5:K18)</f>
        <v>200</v>
      </c>
      <c r="L19" s="12">
        <f>SUMIF(G5:G18,"計画",L5:L18)</f>
        <v>200</v>
      </c>
      <c r="M19" s="76">
        <f ca="1">SUM(H19:L19)</f>
        <v>900</v>
      </c>
      <c r="N19" s="12">
        <f>SUMIF(G5:G18,"計画",N5:N18)</f>
        <v>550</v>
      </c>
      <c r="O19" s="12">
        <f>SUMIF(G5:G18,"計画",O5:O18)</f>
        <v>630</v>
      </c>
      <c r="P19" s="12">
        <f>SUMIF(G5:G18,"計画",P5:P18)</f>
        <v>980</v>
      </c>
      <c r="Q19" s="12">
        <f>SUMIF(G5:G18,"計画",Q5:Q18)</f>
        <v>1120</v>
      </c>
      <c r="R19" s="12">
        <f>SUMIF(G5:G18,"計画",R5:R18)</f>
        <v>1200</v>
      </c>
      <c r="S19" s="12">
        <f>SUMIF(G5:G18,"計画",S5:S18)</f>
        <v>1330</v>
      </c>
      <c r="T19" s="154">
        <f>SUM(N19:S19)</f>
        <v>5810</v>
      </c>
      <c r="U19" s="153">
        <f>SUMIF(G5:G18,"計画",U5:U18)</f>
        <v>1330</v>
      </c>
      <c r="V19" s="12">
        <f>SUMIF(G5:G18,"計画",V5:V18)</f>
        <v>1330</v>
      </c>
      <c r="W19" s="12">
        <f>SUMIF(G5:G18,"計画",W5:W18)</f>
        <v>1330</v>
      </c>
      <c r="X19" s="12">
        <f>SUMIF(G5:G18,"計画",X5:X18)</f>
        <v>1330</v>
      </c>
      <c r="Y19" s="12">
        <f>SUMIF(G5:G18,"計画",Y5:Y18)</f>
        <v>1330</v>
      </c>
      <c r="Z19" s="143">
        <f>SUMIF(G5:G18,"計画",Z5:Z18)</f>
        <v>1330</v>
      </c>
      <c r="AA19" s="154">
        <f>T20+SUM(U19:Z19)</f>
        <v>7980</v>
      </c>
    </row>
    <row r="20" spans="2:27">
      <c r="B20" s="2"/>
      <c r="C20" s="648"/>
      <c r="D20" s="649"/>
      <c r="E20" s="649"/>
      <c r="F20" s="650"/>
      <c r="G20" s="170" t="s">
        <v>87</v>
      </c>
      <c r="H20" s="10">
        <f>SUMIF(G5:G19,"実績",H5:H19)</f>
        <v>3</v>
      </c>
      <c r="I20" s="10">
        <f ca="1">SUMIF(G5:H19,"実績",I5:I19)</f>
        <v>74</v>
      </c>
      <c r="J20" s="10">
        <f ca="1">SUMIF(G5:I18,"実績",J5:J18)</f>
        <v>109</v>
      </c>
      <c r="K20" s="10">
        <f ca="1">SUMIF(G5:J18,"実績",K5:K18)</f>
        <v>150</v>
      </c>
      <c r="L20" s="10">
        <f ca="1">SUMIF(G5:K18,"実績",L5:L18)</f>
        <v>446</v>
      </c>
      <c r="M20" s="155">
        <f ca="1">SUM(H20:L20)</f>
        <v>782</v>
      </c>
      <c r="N20" s="156"/>
      <c r="O20" s="156"/>
      <c r="P20" s="156"/>
      <c r="Q20" s="156"/>
      <c r="R20" s="156"/>
      <c r="S20" s="156"/>
      <c r="T20" s="157"/>
      <c r="U20" s="156"/>
      <c r="V20" s="156"/>
      <c r="W20" s="156"/>
      <c r="X20" s="156"/>
      <c r="Y20" s="156"/>
      <c r="Z20" s="156"/>
      <c r="AA20" s="157"/>
    </row>
    <row r="21" spans="2:27" ht="33.75" customHeight="1">
      <c r="B21" s="2"/>
      <c r="C21" s="645" t="s">
        <v>123</v>
      </c>
      <c r="D21" s="646"/>
      <c r="E21" s="646"/>
      <c r="F21" s="647"/>
      <c r="G21" s="12" t="s">
        <v>124</v>
      </c>
      <c r="H21" s="12"/>
      <c r="I21" s="12"/>
      <c r="J21" s="12"/>
      <c r="K21" s="12"/>
      <c r="L21" s="12"/>
      <c r="M21" s="12"/>
      <c r="N21" s="12">
        <f>N19</f>
        <v>550</v>
      </c>
      <c r="O21" s="12">
        <f>N21+O19</f>
        <v>1180</v>
      </c>
      <c r="P21" s="12">
        <f>O21+P19</f>
        <v>2160</v>
      </c>
      <c r="Q21" s="12">
        <f>P21+Q19</f>
        <v>3280</v>
      </c>
      <c r="R21" s="12">
        <f>Q21+R19</f>
        <v>4480</v>
      </c>
      <c r="S21" s="12">
        <f>R21+S19</f>
        <v>5810</v>
      </c>
      <c r="T21" s="154">
        <f>S21</f>
        <v>5810</v>
      </c>
      <c r="U21" s="187">
        <f>S22+U19</f>
        <v>1330</v>
      </c>
      <c r="V21" s="188">
        <f t="shared" ref="V21:Z21" si="11">U21+V19</f>
        <v>2660</v>
      </c>
      <c r="W21" s="188">
        <f t="shared" si="11"/>
        <v>3990</v>
      </c>
      <c r="X21" s="188">
        <f t="shared" si="11"/>
        <v>5320</v>
      </c>
      <c r="Y21" s="188">
        <f t="shared" si="11"/>
        <v>6650</v>
      </c>
      <c r="Z21" s="189">
        <f t="shared" si="11"/>
        <v>7980</v>
      </c>
      <c r="AA21" s="190">
        <f>Z21</f>
        <v>7980</v>
      </c>
    </row>
    <row r="22" spans="2:27" ht="27.75" customHeight="1" thickBot="1">
      <c r="B22" s="2"/>
      <c r="C22" s="651"/>
      <c r="D22" s="652"/>
      <c r="E22" s="652"/>
      <c r="F22" s="653"/>
      <c r="G22" s="171" t="s">
        <v>99</v>
      </c>
      <c r="H22" s="160"/>
      <c r="I22" s="160"/>
      <c r="J22" s="160"/>
      <c r="K22" s="160"/>
      <c r="L22" s="160"/>
      <c r="M22" s="160"/>
      <c r="N22" s="144"/>
      <c r="O22" s="144"/>
      <c r="P22" s="144"/>
      <c r="Q22" s="144"/>
      <c r="R22" s="144"/>
      <c r="S22" s="144"/>
      <c r="T22" s="161"/>
      <c r="U22" s="144"/>
      <c r="V22" s="144"/>
      <c r="W22" s="144"/>
      <c r="X22" s="144"/>
      <c r="Y22" s="217"/>
      <c r="Z22" s="218"/>
      <c r="AA22" s="161"/>
    </row>
    <row r="23" spans="2:27" ht="22.5" customHeight="1">
      <c r="B23" s="2"/>
      <c r="T23" s="139"/>
      <c r="AA23" s="139"/>
    </row>
    <row r="24" spans="2:27" ht="22.5" customHeight="1">
      <c r="B24" s="2"/>
      <c r="H24" s="594"/>
      <c r="I24" s="594"/>
      <c r="J24" s="594"/>
      <c r="K24" s="595"/>
      <c r="L24" s="595"/>
      <c r="M24" s="595"/>
      <c r="T24" s="1"/>
      <c r="V24" s="594" t="s">
        <v>86</v>
      </c>
      <c r="W24" s="594"/>
      <c r="X24" s="594"/>
      <c r="Y24" s="595" t="s">
        <v>99</v>
      </c>
      <c r="Z24" s="595"/>
      <c r="AA24" s="595"/>
    </row>
    <row r="25" spans="2:27" ht="22.5" customHeight="1">
      <c r="B25" s="2"/>
      <c r="D25" s="590"/>
      <c r="E25" s="591"/>
      <c r="F25" s="591"/>
      <c r="G25" s="592"/>
      <c r="H25" s="587"/>
      <c r="I25" s="588"/>
      <c r="J25" s="589"/>
      <c r="K25" s="587"/>
      <c r="L25" s="588"/>
      <c r="M25" s="589"/>
      <c r="O25" s="593" t="s">
        <v>103</v>
      </c>
      <c r="P25" s="593"/>
      <c r="Q25" s="593"/>
      <c r="R25" s="593"/>
      <c r="S25" s="593"/>
      <c r="T25" s="593"/>
      <c r="U25" s="593"/>
      <c r="V25" s="587">
        <f>SUM(AA19)</f>
        <v>7980</v>
      </c>
      <c r="W25" s="588"/>
      <c r="X25" s="589"/>
      <c r="Y25" s="587">
        <f>AA22</f>
        <v>0</v>
      </c>
      <c r="Z25" s="588"/>
      <c r="AA25" s="589"/>
    </row>
    <row r="26" spans="2:27" ht="22.5" customHeight="1">
      <c r="D26" s="590"/>
      <c r="E26" s="591"/>
      <c r="F26" s="591"/>
      <c r="G26" s="592"/>
      <c r="H26" s="587"/>
      <c r="I26" s="588"/>
      <c r="J26" s="589"/>
      <c r="K26" s="587"/>
      <c r="L26" s="588"/>
      <c r="M26" s="589"/>
      <c r="O26" s="593" t="s">
        <v>35</v>
      </c>
      <c r="P26" s="593"/>
      <c r="Q26" s="593"/>
      <c r="R26" s="593"/>
      <c r="S26" s="593"/>
      <c r="T26" s="593"/>
      <c r="U26" s="593"/>
      <c r="V26" s="587">
        <f>V25*1800</f>
        <v>14364000</v>
      </c>
      <c r="W26" s="588"/>
      <c r="X26" s="589"/>
      <c r="Y26" s="587">
        <f>Y25*1800</f>
        <v>0</v>
      </c>
      <c r="Z26" s="588"/>
      <c r="AA26" s="589"/>
    </row>
    <row r="27" spans="2:27">
      <c r="D27" s="590"/>
      <c r="E27" s="591"/>
      <c r="F27" s="591"/>
      <c r="G27" s="592"/>
      <c r="H27" s="587"/>
      <c r="I27" s="588"/>
      <c r="J27" s="589"/>
      <c r="K27" s="587"/>
      <c r="L27" s="588"/>
      <c r="M27" s="589"/>
      <c r="O27" s="593" t="s">
        <v>36</v>
      </c>
      <c r="P27" s="593"/>
      <c r="Q27" s="593"/>
      <c r="R27" s="593"/>
      <c r="S27" s="593"/>
      <c r="T27" s="593"/>
      <c r="U27" s="593"/>
      <c r="V27" s="587">
        <v>165</v>
      </c>
      <c r="W27" s="588"/>
      <c r="X27" s="589"/>
      <c r="Y27" s="587">
        <v>165</v>
      </c>
      <c r="Z27" s="588"/>
      <c r="AA27" s="589"/>
    </row>
    <row r="28" spans="2:27">
      <c r="D28" s="590"/>
      <c r="E28" s="591"/>
      <c r="F28" s="591"/>
      <c r="G28" s="592"/>
      <c r="H28" s="587"/>
      <c r="I28" s="588"/>
      <c r="J28" s="589"/>
      <c r="K28" s="587"/>
      <c r="L28" s="588"/>
      <c r="M28" s="589"/>
      <c r="O28" s="593" t="s">
        <v>37</v>
      </c>
      <c r="P28" s="593"/>
      <c r="Q28" s="593"/>
      <c r="R28" s="593"/>
      <c r="S28" s="593"/>
      <c r="T28" s="593"/>
      <c r="U28" s="593"/>
      <c r="V28" s="587">
        <f>V26*V27</f>
        <v>2370060000</v>
      </c>
      <c r="W28" s="588"/>
      <c r="X28" s="589"/>
      <c r="Y28" s="587">
        <f>Y26*Y27</f>
        <v>0</v>
      </c>
      <c r="Z28" s="588"/>
      <c r="AA28" s="589"/>
    </row>
    <row r="29" spans="2:27" ht="19.149999999999999" customHeight="1">
      <c r="C29" s="139"/>
      <c r="D29" s="191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</row>
    <row r="30" spans="2:27">
      <c r="C30" s="139"/>
      <c r="D30" s="191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</row>
    <row r="31" spans="2:27">
      <c r="C31" s="139"/>
      <c r="D31" s="191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</row>
    <row r="32" spans="2:27">
      <c r="C32" s="139"/>
      <c r="D32" s="191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</row>
    <row r="33" spans="4:4" s="139" customFormat="1">
      <c r="D33" s="191"/>
    </row>
    <row r="34" spans="4:4" s="139" customFormat="1">
      <c r="D34" s="191"/>
    </row>
    <row r="35" spans="4:4" s="139" customFormat="1">
      <c r="D35" s="191"/>
    </row>
    <row r="36" spans="4:4" s="139" customFormat="1">
      <c r="D36" s="191"/>
    </row>
    <row r="37" spans="4:4" s="139" customFormat="1">
      <c r="D37" s="191"/>
    </row>
    <row r="38" spans="4:4" s="139" customFormat="1">
      <c r="D38" s="191"/>
    </row>
    <row r="39" spans="4:4" s="139" customFormat="1">
      <c r="D39" s="191"/>
    </row>
    <row r="40" spans="4:4" s="139" customFormat="1">
      <c r="D40" s="191"/>
    </row>
    <row r="41" spans="4:4" s="139" customFormat="1">
      <c r="D41" s="191"/>
    </row>
    <row r="42" spans="4:4" s="139" customFormat="1">
      <c r="D42" s="191"/>
    </row>
    <row r="43" spans="4:4" s="139" customFormat="1">
      <c r="D43" s="191"/>
    </row>
    <row r="44" spans="4:4" s="139" customFormat="1">
      <c r="D44" s="191"/>
    </row>
    <row r="45" spans="4:4" s="139" customFormat="1">
      <c r="D45" s="191"/>
    </row>
    <row r="46" spans="4:4" s="139" customFormat="1">
      <c r="D46" s="191"/>
    </row>
    <row r="47" spans="4:4" s="139" customFormat="1">
      <c r="D47" s="191"/>
    </row>
    <row r="48" spans="4:4" s="139" customFormat="1">
      <c r="D48" s="191"/>
    </row>
    <row r="49" spans="4:4" s="139" customFormat="1">
      <c r="D49" s="191"/>
    </row>
    <row r="50" spans="4:4" s="139" customFormat="1">
      <c r="D50" s="191"/>
    </row>
    <row r="51" spans="4:4" s="139" customFormat="1">
      <c r="D51" s="191"/>
    </row>
    <row r="52" spans="4:4" s="139" customFormat="1">
      <c r="D52" s="191"/>
    </row>
    <row r="53" spans="4:4" s="139" customFormat="1">
      <c r="D53" s="191"/>
    </row>
    <row r="54" spans="4:4" s="139" customFormat="1">
      <c r="D54" s="191"/>
    </row>
    <row r="55" spans="4:4" s="139" customFormat="1">
      <c r="D55" s="191"/>
    </row>
    <row r="56" spans="4:4" s="139" customFormat="1">
      <c r="D56" s="191"/>
    </row>
    <row r="57" spans="4:4" s="139" customFormat="1">
      <c r="D57" s="191"/>
    </row>
    <row r="58" spans="4:4" s="139" customFormat="1">
      <c r="D58" s="191"/>
    </row>
    <row r="59" spans="4:4" s="139" customFormat="1">
      <c r="D59" s="191"/>
    </row>
    <row r="60" spans="4:4" s="139" customFormat="1">
      <c r="D60" s="191"/>
    </row>
    <row r="61" spans="4:4" s="139" customFormat="1">
      <c r="D61" s="191"/>
    </row>
    <row r="62" spans="4:4" s="139" customFormat="1">
      <c r="D62" s="191"/>
    </row>
    <row r="63" spans="4:4" s="139" customFormat="1">
      <c r="D63" s="191"/>
    </row>
    <row r="64" spans="4:4" s="139" customFormat="1">
      <c r="D64" s="191"/>
    </row>
    <row r="65" spans="4:4" s="139" customFormat="1">
      <c r="D65" s="191"/>
    </row>
    <row r="66" spans="4:4" s="139" customFormat="1">
      <c r="D66" s="191"/>
    </row>
    <row r="67" spans="4:4" s="139" customFormat="1">
      <c r="D67" s="191"/>
    </row>
    <row r="68" spans="4:4" s="139" customFormat="1">
      <c r="D68" s="191"/>
    </row>
    <row r="69" spans="4:4" s="139" customFormat="1">
      <c r="D69" s="191"/>
    </row>
    <row r="70" spans="4:4" s="139" customFormat="1">
      <c r="D70" s="191"/>
    </row>
    <row r="71" spans="4:4" s="139" customFormat="1">
      <c r="D71" s="191"/>
    </row>
    <row r="72" spans="4:4" s="139" customFormat="1">
      <c r="D72" s="191"/>
    </row>
    <row r="73" spans="4:4" s="139" customFormat="1">
      <c r="D73" s="191"/>
    </row>
    <row r="74" spans="4:4" s="139" customFormat="1">
      <c r="D74" s="191"/>
    </row>
    <row r="75" spans="4:4" s="139" customFormat="1">
      <c r="D75" s="191"/>
    </row>
    <row r="76" spans="4:4" s="139" customFormat="1">
      <c r="D76" s="191"/>
    </row>
    <row r="77" spans="4:4" s="139" customFormat="1">
      <c r="D77" s="191"/>
    </row>
    <row r="78" spans="4:4" s="139" customFormat="1">
      <c r="D78" s="191"/>
    </row>
    <row r="79" spans="4:4" s="139" customFormat="1">
      <c r="D79" s="191"/>
    </row>
    <row r="80" spans="4:4" s="139" customFormat="1">
      <c r="D80" s="191"/>
    </row>
    <row r="81" spans="4:4" s="139" customFormat="1">
      <c r="D81" s="191"/>
    </row>
    <row r="82" spans="4:4" s="139" customFormat="1">
      <c r="D82" s="191"/>
    </row>
    <row r="83" spans="4:4" s="139" customFormat="1">
      <c r="D83" s="191"/>
    </row>
    <row r="84" spans="4:4" s="139" customFormat="1">
      <c r="D84" s="191"/>
    </row>
    <row r="85" spans="4:4" s="139" customFormat="1">
      <c r="D85" s="191"/>
    </row>
    <row r="86" spans="4:4" s="139" customFormat="1">
      <c r="D86" s="191"/>
    </row>
    <row r="87" spans="4:4" s="139" customFormat="1">
      <c r="D87" s="191"/>
    </row>
    <row r="88" spans="4:4" s="139" customFormat="1">
      <c r="D88" s="191"/>
    </row>
    <row r="89" spans="4:4" s="139" customFormat="1">
      <c r="D89" s="191"/>
    </row>
    <row r="90" spans="4:4" s="139" customFormat="1">
      <c r="D90" s="191"/>
    </row>
    <row r="91" spans="4:4" s="139" customFormat="1">
      <c r="D91" s="191"/>
    </row>
    <row r="92" spans="4:4" s="139" customFormat="1">
      <c r="D92" s="191"/>
    </row>
    <row r="93" spans="4:4" s="139" customFormat="1">
      <c r="D93" s="191"/>
    </row>
    <row r="94" spans="4:4" s="139" customFormat="1">
      <c r="D94" s="191"/>
    </row>
    <row r="95" spans="4:4" s="139" customFormat="1">
      <c r="D95" s="191"/>
    </row>
    <row r="96" spans="4:4" s="139" customFormat="1">
      <c r="D96" s="191"/>
    </row>
    <row r="97" spans="4:4" s="139" customFormat="1">
      <c r="D97" s="191"/>
    </row>
    <row r="98" spans="4:4" s="139" customFormat="1">
      <c r="D98" s="191"/>
    </row>
    <row r="99" spans="4:4" s="139" customFormat="1">
      <c r="D99" s="191"/>
    </row>
    <row r="100" spans="4:4" s="139" customFormat="1">
      <c r="D100" s="191"/>
    </row>
    <row r="101" spans="4:4" s="139" customFormat="1">
      <c r="D101" s="191"/>
    </row>
    <row r="102" spans="4:4" s="139" customFormat="1">
      <c r="D102" s="191"/>
    </row>
    <row r="103" spans="4:4" s="139" customFormat="1">
      <c r="D103" s="191"/>
    </row>
    <row r="104" spans="4:4" s="139" customFormat="1">
      <c r="D104" s="191"/>
    </row>
    <row r="105" spans="4:4" s="139" customFormat="1">
      <c r="D105" s="191"/>
    </row>
    <row r="106" spans="4:4" s="139" customFormat="1">
      <c r="D106" s="191"/>
    </row>
    <row r="107" spans="4:4" s="139" customFormat="1">
      <c r="D107" s="191"/>
    </row>
    <row r="108" spans="4:4" s="139" customFormat="1">
      <c r="D108" s="191"/>
    </row>
    <row r="109" spans="4:4" s="139" customFormat="1">
      <c r="D109" s="191"/>
    </row>
    <row r="110" spans="4:4" s="139" customFormat="1">
      <c r="D110" s="191"/>
    </row>
    <row r="111" spans="4:4" s="139" customFormat="1">
      <c r="D111" s="191"/>
    </row>
    <row r="112" spans="4:4" s="139" customFormat="1">
      <c r="D112" s="191"/>
    </row>
    <row r="113" spans="4:4" s="139" customFormat="1">
      <c r="D113" s="191"/>
    </row>
    <row r="114" spans="4:4" s="139" customFormat="1">
      <c r="D114" s="191"/>
    </row>
    <row r="115" spans="4:4" s="139" customFormat="1">
      <c r="D115" s="191"/>
    </row>
    <row r="116" spans="4:4" s="139" customFormat="1">
      <c r="D116" s="191"/>
    </row>
    <row r="117" spans="4:4" s="139" customFormat="1">
      <c r="D117" s="191"/>
    </row>
    <row r="118" spans="4:4" s="139" customFormat="1">
      <c r="D118" s="191"/>
    </row>
    <row r="119" spans="4:4" s="139" customFormat="1">
      <c r="D119" s="191"/>
    </row>
    <row r="120" spans="4:4" s="139" customFormat="1">
      <c r="D120" s="191"/>
    </row>
    <row r="121" spans="4:4" s="139" customFormat="1">
      <c r="D121" s="191"/>
    </row>
    <row r="122" spans="4:4" s="139" customFormat="1">
      <c r="D122" s="191"/>
    </row>
    <row r="123" spans="4:4" s="139" customFormat="1">
      <c r="D123" s="191"/>
    </row>
    <row r="124" spans="4:4" s="139" customFormat="1">
      <c r="D124" s="191"/>
    </row>
    <row r="125" spans="4:4" s="139" customFormat="1">
      <c r="D125" s="191"/>
    </row>
    <row r="126" spans="4:4" s="139" customFormat="1">
      <c r="D126" s="191"/>
    </row>
    <row r="127" spans="4:4" s="139" customFormat="1">
      <c r="D127" s="191"/>
    </row>
    <row r="128" spans="4:4" s="139" customFormat="1">
      <c r="D128" s="191"/>
    </row>
    <row r="129" spans="4:4" s="139" customFormat="1">
      <c r="D129" s="191"/>
    </row>
    <row r="130" spans="4:4" s="139" customFormat="1">
      <c r="D130" s="191"/>
    </row>
    <row r="131" spans="4:4" s="139" customFormat="1">
      <c r="D131" s="191"/>
    </row>
    <row r="132" spans="4:4" s="139" customFormat="1">
      <c r="D132" s="191"/>
    </row>
    <row r="133" spans="4:4" s="139" customFormat="1">
      <c r="D133" s="191"/>
    </row>
    <row r="134" spans="4:4" s="139" customFormat="1">
      <c r="D134" s="191"/>
    </row>
    <row r="135" spans="4:4" s="139" customFormat="1">
      <c r="D135" s="191"/>
    </row>
    <row r="136" spans="4:4" s="139" customFormat="1">
      <c r="D136" s="191"/>
    </row>
    <row r="137" spans="4:4" s="139" customFormat="1">
      <c r="D137" s="191"/>
    </row>
    <row r="138" spans="4:4" s="139" customFormat="1">
      <c r="D138" s="191"/>
    </row>
    <row r="139" spans="4:4" s="139" customFormat="1">
      <c r="D139" s="191"/>
    </row>
    <row r="140" spans="4:4" s="139" customFormat="1">
      <c r="D140" s="191"/>
    </row>
    <row r="141" spans="4:4" s="139" customFormat="1">
      <c r="D141" s="191"/>
    </row>
    <row r="142" spans="4:4" s="139" customFormat="1">
      <c r="D142" s="191"/>
    </row>
    <row r="143" spans="4:4" s="139" customFormat="1">
      <c r="D143" s="191"/>
    </row>
    <row r="144" spans="4:4" s="139" customFormat="1">
      <c r="D144" s="191"/>
    </row>
    <row r="145" spans="4:4" s="139" customFormat="1">
      <c r="D145" s="191"/>
    </row>
    <row r="146" spans="4:4" s="139" customFormat="1">
      <c r="D146" s="191"/>
    </row>
    <row r="147" spans="4:4" s="139" customFormat="1">
      <c r="D147" s="191"/>
    </row>
    <row r="148" spans="4:4" s="139" customFormat="1">
      <c r="D148" s="191"/>
    </row>
    <row r="149" spans="4:4" s="139" customFormat="1">
      <c r="D149" s="191"/>
    </row>
    <row r="150" spans="4:4" s="139" customFormat="1">
      <c r="D150" s="191"/>
    </row>
    <row r="151" spans="4:4" s="139" customFormat="1">
      <c r="D151" s="191"/>
    </row>
    <row r="152" spans="4:4" s="139" customFormat="1">
      <c r="D152" s="191"/>
    </row>
    <row r="153" spans="4:4" s="139" customFormat="1">
      <c r="D153" s="191"/>
    </row>
    <row r="154" spans="4:4" s="139" customFormat="1">
      <c r="D154" s="191"/>
    </row>
    <row r="155" spans="4:4" s="139" customFormat="1">
      <c r="D155" s="191"/>
    </row>
    <row r="156" spans="4:4" s="139" customFormat="1">
      <c r="D156" s="191"/>
    </row>
    <row r="157" spans="4:4" s="139" customFormat="1">
      <c r="D157" s="191"/>
    </row>
    <row r="158" spans="4:4" s="139" customFormat="1">
      <c r="D158" s="191"/>
    </row>
    <row r="159" spans="4:4" s="139" customFormat="1">
      <c r="D159" s="191"/>
    </row>
    <row r="160" spans="4:4" s="139" customFormat="1">
      <c r="D160" s="191"/>
    </row>
    <row r="161" spans="4:4" s="139" customFormat="1">
      <c r="D161" s="191"/>
    </row>
    <row r="162" spans="4:4" s="139" customFormat="1">
      <c r="D162" s="191"/>
    </row>
    <row r="163" spans="4:4" s="139" customFormat="1">
      <c r="D163" s="191"/>
    </row>
    <row r="164" spans="4:4" s="139" customFormat="1">
      <c r="D164" s="191"/>
    </row>
    <row r="165" spans="4:4" s="139" customFormat="1">
      <c r="D165" s="191"/>
    </row>
    <row r="166" spans="4:4" s="139" customFormat="1">
      <c r="D166" s="191"/>
    </row>
    <row r="167" spans="4:4" s="139" customFormat="1">
      <c r="D167" s="191"/>
    </row>
    <row r="168" spans="4:4" s="139" customFormat="1">
      <c r="D168" s="191"/>
    </row>
    <row r="169" spans="4:4" s="139" customFormat="1">
      <c r="D169" s="191"/>
    </row>
    <row r="170" spans="4:4" s="139" customFormat="1">
      <c r="D170" s="191"/>
    </row>
    <row r="171" spans="4:4" s="139" customFormat="1">
      <c r="D171" s="191"/>
    </row>
    <row r="172" spans="4:4" s="139" customFormat="1">
      <c r="D172" s="191"/>
    </row>
    <row r="173" spans="4:4" s="139" customFormat="1">
      <c r="D173" s="191"/>
    </row>
    <row r="174" spans="4:4" s="139" customFormat="1">
      <c r="D174" s="191"/>
    </row>
    <row r="175" spans="4:4" s="139" customFormat="1">
      <c r="D175" s="191"/>
    </row>
    <row r="176" spans="4:4" s="139" customFormat="1">
      <c r="D176" s="191"/>
    </row>
    <row r="177" spans="4:4" s="139" customFormat="1">
      <c r="D177" s="191"/>
    </row>
    <row r="178" spans="4:4" s="139" customFormat="1">
      <c r="D178" s="191"/>
    </row>
    <row r="179" spans="4:4" s="139" customFormat="1">
      <c r="D179" s="191"/>
    </row>
    <row r="180" spans="4:4" s="139" customFormat="1">
      <c r="D180" s="191"/>
    </row>
    <row r="181" spans="4:4" s="139" customFormat="1">
      <c r="D181" s="191"/>
    </row>
    <row r="182" spans="4:4" s="139" customFormat="1">
      <c r="D182" s="191"/>
    </row>
    <row r="183" spans="4:4" s="139" customFormat="1">
      <c r="D183" s="191"/>
    </row>
    <row r="184" spans="4:4" s="139" customFormat="1">
      <c r="D184" s="191"/>
    </row>
    <row r="185" spans="4:4" s="139" customFormat="1">
      <c r="D185" s="191"/>
    </row>
    <row r="186" spans="4:4" s="139" customFormat="1">
      <c r="D186" s="191"/>
    </row>
    <row r="187" spans="4:4" s="139" customFormat="1">
      <c r="D187" s="191"/>
    </row>
    <row r="188" spans="4:4" s="139" customFormat="1">
      <c r="D188" s="191"/>
    </row>
    <row r="189" spans="4:4" s="139" customFormat="1">
      <c r="D189" s="191"/>
    </row>
    <row r="190" spans="4:4" s="139" customFormat="1">
      <c r="D190" s="191"/>
    </row>
    <row r="191" spans="4:4" s="139" customFormat="1">
      <c r="D191" s="191"/>
    </row>
    <row r="192" spans="4:4" s="139" customFormat="1">
      <c r="D192" s="191"/>
    </row>
    <row r="193" spans="4:4" s="139" customFormat="1">
      <c r="D193" s="191"/>
    </row>
    <row r="194" spans="4:4" s="139" customFormat="1">
      <c r="D194" s="191"/>
    </row>
    <row r="195" spans="4:4" s="139" customFormat="1">
      <c r="D195" s="191"/>
    </row>
    <row r="196" spans="4:4" s="139" customFormat="1">
      <c r="D196" s="191"/>
    </row>
    <row r="197" spans="4:4" s="139" customFormat="1">
      <c r="D197" s="191"/>
    </row>
    <row r="198" spans="4:4" s="139" customFormat="1">
      <c r="D198" s="191"/>
    </row>
    <row r="199" spans="4:4" s="139" customFormat="1">
      <c r="D199" s="191"/>
    </row>
    <row r="200" spans="4:4" s="139" customFormat="1">
      <c r="D200" s="191"/>
    </row>
    <row r="201" spans="4:4" s="139" customFormat="1">
      <c r="D201" s="191"/>
    </row>
    <row r="202" spans="4:4" s="139" customFormat="1">
      <c r="D202" s="191"/>
    </row>
    <row r="203" spans="4:4" s="139" customFormat="1">
      <c r="D203" s="191"/>
    </row>
    <row r="204" spans="4:4" s="139" customFormat="1">
      <c r="D204" s="191"/>
    </row>
    <row r="205" spans="4:4" s="139" customFormat="1">
      <c r="D205" s="191"/>
    </row>
    <row r="206" spans="4:4" s="139" customFormat="1">
      <c r="D206" s="191"/>
    </row>
    <row r="207" spans="4:4" s="139" customFormat="1">
      <c r="D207" s="191"/>
    </row>
    <row r="208" spans="4:4" s="139" customFormat="1">
      <c r="D208" s="191"/>
    </row>
    <row r="209" spans="4:4" s="139" customFormat="1">
      <c r="D209" s="191"/>
    </row>
    <row r="210" spans="4:4" s="139" customFormat="1">
      <c r="D210" s="191"/>
    </row>
    <row r="211" spans="4:4" s="139" customFormat="1">
      <c r="D211" s="191"/>
    </row>
    <row r="212" spans="4:4" s="139" customFormat="1">
      <c r="D212" s="191"/>
    </row>
    <row r="213" spans="4:4" s="139" customFormat="1">
      <c r="D213" s="191"/>
    </row>
    <row r="214" spans="4:4" s="139" customFormat="1">
      <c r="D214" s="191"/>
    </row>
    <row r="215" spans="4:4" s="139" customFormat="1">
      <c r="D215" s="191"/>
    </row>
    <row r="216" spans="4:4" s="139" customFormat="1">
      <c r="D216" s="191"/>
    </row>
    <row r="217" spans="4:4" s="139" customFormat="1">
      <c r="D217" s="191"/>
    </row>
    <row r="218" spans="4:4" s="139" customFormat="1">
      <c r="D218" s="191"/>
    </row>
    <row r="219" spans="4:4" s="139" customFormat="1">
      <c r="D219" s="191"/>
    </row>
    <row r="220" spans="4:4" s="139" customFormat="1">
      <c r="D220" s="191"/>
    </row>
    <row r="221" spans="4:4" s="139" customFormat="1">
      <c r="D221" s="191"/>
    </row>
    <row r="222" spans="4:4" s="139" customFormat="1">
      <c r="D222" s="191"/>
    </row>
    <row r="223" spans="4:4" s="139" customFormat="1">
      <c r="D223" s="191"/>
    </row>
    <row r="224" spans="4:4" s="139" customFormat="1">
      <c r="D224" s="191"/>
    </row>
    <row r="225" spans="4:4" s="139" customFormat="1">
      <c r="D225" s="191"/>
    </row>
    <row r="226" spans="4:4" s="139" customFormat="1">
      <c r="D226" s="191"/>
    </row>
    <row r="227" spans="4:4" s="139" customFormat="1">
      <c r="D227" s="191"/>
    </row>
    <row r="228" spans="4:4" s="139" customFormat="1">
      <c r="D228" s="191"/>
    </row>
    <row r="229" spans="4:4" s="139" customFormat="1">
      <c r="D229" s="191"/>
    </row>
    <row r="230" spans="4:4" s="139" customFormat="1">
      <c r="D230" s="191"/>
    </row>
    <row r="231" spans="4:4" s="139" customFormat="1">
      <c r="D231" s="191"/>
    </row>
    <row r="232" spans="4:4" s="139" customFormat="1">
      <c r="D232" s="191"/>
    </row>
    <row r="233" spans="4:4" s="139" customFormat="1">
      <c r="D233" s="191"/>
    </row>
    <row r="234" spans="4:4" s="139" customFormat="1">
      <c r="D234" s="191"/>
    </row>
    <row r="235" spans="4:4" s="139" customFormat="1">
      <c r="D235" s="191"/>
    </row>
    <row r="236" spans="4:4" s="139" customFormat="1">
      <c r="D236" s="191"/>
    </row>
    <row r="237" spans="4:4" s="139" customFormat="1">
      <c r="D237" s="191"/>
    </row>
    <row r="238" spans="4:4" s="139" customFormat="1">
      <c r="D238" s="191"/>
    </row>
    <row r="239" spans="4:4" s="139" customFormat="1">
      <c r="D239" s="191"/>
    </row>
    <row r="240" spans="4:4" s="139" customFormat="1">
      <c r="D240" s="191"/>
    </row>
    <row r="241" spans="4:4" s="139" customFormat="1">
      <c r="D241" s="191"/>
    </row>
    <row r="242" spans="4:4" s="139" customFormat="1">
      <c r="D242" s="191"/>
    </row>
    <row r="243" spans="4:4" s="139" customFormat="1">
      <c r="D243" s="191"/>
    </row>
    <row r="244" spans="4:4" s="139" customFormat="1">
      <c r="D244" s="191"/>
    </row>
    <row r="245" spans="4:4" s="139" customFormat="1">
      <c r="D245" s="191"/>
    </row>
    <row r="246" spans="4:4" s="139" customFormat="1">
      <c r="D246" s="191"/>
    </row>
    <row r="247" spans="4:4" s="139" customFormat="1">
      <c r="D247" s="191"/>
    </row>
    <row r="248" spans="4:4" s="139" customFormat="1">
      <c r="D248" s="191"/>
    </row>
    <row r="249" spans="4:4" s="139" customFormat="1">
      <c r="D249" s="191"/>
    </row>
    <row r="250" spans="4:4" s="139" customFormat="1">
      <c r="D250" s="191"/>
    </row>
    <row r="251" spans="4:4" s="139" customFormat="1">
      <c r="D251" s="191"/>
    </row>
    <row r="252" spans="4:4" s="139" customFormat="1">
      <c r="D252" s="191"/>
    </row>
    <row r="253" spans="4:4" s="139" customFormat="1">
      <c r="D253" s="191"/>
    </row>
    <row r="254" spans="4:4" s="139" customFormat="1">
      <c r="D254" s="191"/>
    </row>
    <row r="255" spans="4:4" s="139" customFormat="1">
      <c r="D255" s="191"/>
    </row>
    <row r="256" spans="4:4" s="139" customFormat="1">
      <c r="D256" s="191"/>
    </row>
    <row r="257" spans="4:4" s="139" customFormat="1">
      <c r="D257" s="191"/>
    </row>
    <row r="258" spans="4:4" s="139" customFormat="1">
      <c r="D258" s="191"/>
    </row>
    <row r="259" spans="4:4" s="139" customFormat="1">
      <c r="D259" s="191"/>
    </row>
    <row r="260" spans="4:4" s="139" customFormat="1">
      <c r="D260" s="191"/>
    </row>
    <row r="261" spans="4:4" s="139" customFormat="1">
      <c r="D261" s="191"/>
    </row>
    <row r="262" spans="4:4" s="139" customFormat="1">
      <c r="D262" s="191"/>
    </row>
    <row r="263" spans="4:4" s="139" customFormat="1">
      <c r="D263" s="191"/>
    </row>
    <row r="264" spans="4:4" s="139" customFormat="1">
      <c r="D264" s="191"/>
    </row>
    <row r="265" spans="4:4" s="139" customFormat="1">
      <c r="D265" s="191"/>
    </row>
    <row r="266" spans="4:4" s="139" customFormat="1">
      <c r="D266" s="191"/>
    </row>
    <row r="267" spans="4:4" s="139" customFormat="1">
      <c r="D267" s="191"/>
    </row>
    <row r="268" spans="4:4" s="139" customFormat="1">
      <c r="D268" s="191"/>
    </row>
    <row r="269" spans="4:4" s="139" customFormat="1">
      <c r="D269" s="191"/>
    </row>
    <row r="270" spans="4:4" s="139" customFormat="1">
      <c r="D270" s="191"/>
    </row>
    <row r="271" spans="4:4" s="139" customFormat="1">
      <c r="D271" s="191"/>
    </row>
    <row r="272" spans="4:4" s="139" customFormat="1">
      <c r="D272" s="191"/>
    </row>
    <row r="273" spans="4:4" s="139" customFormat="1">
      <c r="D273" s="191"/>
    </row>
    <row r="274" spans="4:4" s="139" customFormat="1">
      <c r="D274" s="191"/>
    </row>
    <row r="275" spans="4:4" s="139" customFormat="1">
      <c r="D275" s="191"/>
    </row>
    <row r="276" spans="4:4" s="139" customFormat="1">
      <c r="D276" s="191"/>
    </row>
    <row r="277" spans="4:4" s="139" customFormat="1">
      <c r="D277" s="191"/>
    </row>
    <row r="278" spans="4:4" s="139" customFormat="1">
      <c r="D278" s="191"/>
    </row>
    <row r="279" spans="4:4" s="139" customFormat="1">
      <c r="D279" s="191"/>
    </row>
    <row r="280" spans="4:4" s="139" customFormat="1">
      <c r="D280" s="191"/>
    </row>
    <row r="281" spans="4:4" s="139" customFormat="1">
      <c r="D281" s="191"/>
    </row>
    <row r="282" spans="4:4" s="139" customFormat="1">
      <c r="D282" s="191"/>
    </row>
    <row r="283" spans="4:4" s="139" customFormat="1">
      <c r="D283" s="191"/>
    </row>
    <row r="284" spans="4:4" s="139" customFormat="1">
      <c r="D284" s="191"/>
    </row>
    <row r="285" spans="4:4" s="139" customFormat="1">
      <c r="D285" s="191"/>
    </row>
    <row r="286" spans="4:4" s="139" customFormat="1">
      <c r="D286" s="191"/>
    </row>
    <row r="287" spans="4:4" s="139" customFormat="1">
      <c r="D287" s="191"/>
    </row>
    <row r="288" spans="4:4" s="139" customFormat="1">
      <c r="D288" s="191"/>
    </row>
    <row r="289" spans="4:4" s="139" customFormat="1">
      <c r="D289" s="191"/>
    </row>
    <row r="290" spans="4:4" s="139" customFormat="1">
      <c r="D290" s="191"/>
    </row>
    <row r="291" spans="4:4" s="139" customFormat="1">
      <c r="D291" s="191"/>
    </row>
    <row r="292" spans="4:4" s="139" customFormat="1">
      <c r="D292" s="191"/>
    </row>
    <row r="293" spans="4:4" s="139" customFormat="1">
      <c r="D293" s="191"/>
    </row>
    <row r="294" spans="4:4" s="139" customFormat="1">
      <c r="D294" s="191"/>
    </row>
    <row r="295" spans="4:4" s="139" customFormat="1">
      <c r="D295" s="191"/>
    </row>
    <row r="296" spans="4:4" s="139" customFormat="1">
      <c r="D296" s="191"/>
    </row>
    <row r="297" spans="4:4" s="139" customFormat="1">
      <c r="D297" s="191"/>
    </row>
    <row r="298" spans="4:4" s="139" customFormat="1">
      <c r="D298" s="191"/>
    </row>
    <row r="299" spans="4:4" s="139" customFormat="1">
      <c r="D299" s="191"/>
    </row>
    <row r="300" spans="4:4" s="139" customFormat="1">
      <c r="D300" s="191"/>
    </row>
    <row r="301" spans="4:4" s="139" customFormat="1">
      <c r="D301" s="191"/>
    </row>
    <row r="302" spans="4:4" s="139" customFormat="1">
      <c r="D302" s="191"/>
    </row>
    <row r="303" spans="4:4" s="139" customFormat="1">
      <c r="D303" s="191"/>
    </row>
    <row r="304" spans="4:4" s="139" customFormat="1">
      <c r="D304" s="191"/>
    </row>
    <row r="305" spans="4:4" s="139" customFormat="1">
      <c r="D305" s="191"/>
    </row>
    <row r="306" spans="4:4" s="139" customFormat="1">
      <c r="D306" s="191"/>
    </row>
    <row r="307" spans="4:4" s="139" customFormat="1">
      <c r="D307" s="191"/>
    </row>
    <row r="308" spans="4:4" s="139" customFormat="1">
      <c r="D308" s="191"/>
    </row>
    <row r="309" spans="4:4" s="139" customFormat="1">
      <c r="D309" s="191"/>
    </row>
    <row r="310" spans="4:4" s="139" customFormat="1">
      <c r="D310" s="191"/>
    </row>
    <row r="311" spans="4:4" s="139" customFormat="1">
      <c r="D311" s="191"/>
    </row>
    <row r="312" spans="4:4" s="139" customFormat="1">
      <c r="D312" s="191"/>
    </row>
    <row r="313" spans="4:4" s="139" customFormat="1">
      <c r="D313" s="191"/>
    </row>
    <row r="314" spans="4:4" s="139" customFormat="1">
      <c r="D314" s="191"/>
    </row>
    <row r="315" spans="4:4" s="139" customFormat="1">
      <c r="D315" s="191"/>
    </row>
    <row r="316" spans="4:4" s="139" customFormat="1">
      <c r="D316" s="191"/>
    </row>
    <row r="317" spans="4:4" s="139" customFormat="1">
      <c r="D317" s="191"/>
    </row>
    <row r="318" spans="4:4" s="139" customFormat="1">
      <c r="D318" s="191"/>
    </row>
    <row r="319" spans="4:4" s="139" customFormat="1">
      <c r="D319" s="191"/>
    </row>
    <row r="320" spans="4:4" s="139" customFormat="1">
      <c r="D320" s="191"/>
    </row>
    <row r="321" spans="4:4" s="139" customFormat="1">
      <c r="D321" s="191"/>
    </row>
    <row r="322" spans="4:4" s="139" customFormat="1">
      <c r="D322" s="191"/>
    </row>
    <row r="323" spans="4:4" s="139" customFormat="1">
      <c r="D323" s="191"/>
    </row>
    <row r="324" spans="4:4" s="139" customFormat="1">
      <c r="D324" s="191"/>
    </row>
    <row r="325" spans="4:4" s="139" customFormat="1">
      <c r="D325" s="191"/>
    </row>
    <row r="326" spans="4:4" s="139" customFormat="1">
      <c r="D326" s="191"/>
    </row>
    <row r="327" spans="4:4" s="139" customFormat="1">
      <c r="D327" s="191"/>
    </row>
    <row r="328" spans="4:4" s="139" customFormat="1">
      <c r="D328" s="191"/>
    </row>
    <row r="329" spans="4:4" s="139" customFormat="1">
      <c r="D329" s="191"/>
    </row>
    <row r="330" spans="4:4" s="139" customFormat="1">
      <c r="D330" s="191"/>
    </row>
    <row r="331" spans="4:4" s="139" customFormat="1">
      <c r="D331" s="191"/>
    </row>
    <row r="332" spans="4:4" s="139" customFormat="1">
      <c r="D332" s="191"/>
    </row>
    <row r="333" spans="4:4" s="139" customFormat="1">
      <c r="D333" s="191"/>
    </row>
    <row r="334" spans="4:4" s="139" customFormat="1">
      <c r="D334" s="191"/>
    </row>
    <row r="335" spans="4:4" s="139" customFormat="1">
      <c r="D335" s="191"/>
    </row>
    <row r="336" spans="4:4" s="139" customFormat="1">
      <c r="D336" s="191"/>
    </row>
    <row r="337" spans="4:4" s="139" customFormat="1">
      <c r="D337" s="191"/>
    </row>
    <row r="338" spans="4:4" s="139" customFormat="1">
      <c r="D338" s="191"/>
    </row>
    <row r="339" spans="4:4" s="139" customFormat="1">
      <c r="D339" s="191"/>
    </row>
    <row r="340" spans="4:4" s="139" customFormat="1">
      <c r="D340" s="191"/>
    </row>
    <row r="341" spans="4:4" s="139" customFormat="1">
      <c r="D341" s="191"/>
    </row>
    <row r="342" spans="4:4" s="139" customFormat="1">
      <c r="D342" s="191"/>
    </row>
    <row r="343" spans="4:4" s="139" customFormat="1">
      <c r="D343" s="191"/>
    </row>
    <row r="344" spans="4:4" s="139" customFormat="1">
      <c r="D344" s="191"/>
    </row>
    <row r="345" spans="4:4" s="139" customFormat="1">
      <c r="D345" s="191"/>
    </row>
    <row r="346" spans="4:4" s="139" customFormat="1">
      <c r="D346" s="191"/>
    </row>
    <row r="347" spans="4:4" s="139" customFormat="1">
      <c r="D347" s="191"/>
    </row>
    <row r="348" spans="4:4" s="139" customFormat="1">
      <c r="D348" s="191"/>
    </row>
    <row r="349" spans="4:4" s="139" customFormat="1">
      <c r="D349" s="191"/>
    </row>
    <row r="350" spans="4:4" s="139" customFormat="1">
      <c r="D350" s="191"/>
    </row>
    <row r="351" spans="4:4" s="139" customFormat="1">
      <c r="D351" s="191"/>
    </row>
    <row r="352" spans="4:4" s="139" customFormat="1">
      <c r="D352" s="191"/>
    </row>
    <row r="353" spans="4:4" s="139" customFormat="1">
      <c r="D353" s="191"/>
    </row>
    <row r="354" spans="4:4" s="139" customFormat="1">
      <c r="D354" s="191"/>
    </row>
    <row r="355" spans="4:4" s="139" customFormat="1">
      <c r="D355" s="191"/>
    </row>
    <row r="356" spans="4:4" s="139" customFormat="1">
      <c r="D356" s="191"/>
    </row>
    <row r="357" spans="4:4" s="139" customFormat="1">
      <c r="D357" s="191"/>
    </row>
    <row r="358" spans="4:4" s="139" customFormat="1">
      <c r="D358" s="191"/>
    </row>
    <row r="359" spans="4:4" s="139" customFormat="1">
      <c r="D359" s="191"/>
    </row>
    <row r="360" spans="4:4" s="139" customFormat="1">
      <c r="D360" s="191"/>
    </row>
    <row r="361" spans="4:4" s="139" customFormat="1">
      <c r="D361" s="191"/>
    </row>
    <row r="362" spans="4:4" s="139" customFormat="1">
      <c r="D362" s="191"/>
    </row>
    <row r="363" spans="4:4" s="139" customFormat="1">
      <c r="D363" s="191"/>
    </row>
    <row r="364" spans="4:4" s="139" customFormat="1">
      <c r="D364" s="191"/>
    </row>
    <row r="365" spans="4:4" s="139" customFormat="1">
      <c r="D365" s="191"/>
    </row>
    <row r="366" spans="4:4" s="139" customFormat="1">
      <c r="D366" s="191"/>
    </row>
    <row r="367" spans="4:4" s="139" customFormat="1">
      <c r="D367" s="191"/>
    </row>
    <row r="368" spans="4:4" s="139" customFormat="1">
      <c r="D368" s="191"/>
    </row>
    <row r="369" spans="4:4" s="139" customFormat="1">
      <c r="D369" s="191"/>
    </row>
    <row r="370" spans="4:4" s="139" customFormat="1">
      <c r="D370" s="191"/>
    </row>
    <row r="371" spans="4:4" s="139" customFormat="1">
      <c r="D371" s="191"/>
    </row>
    <row r="372" spans="4:4" s="139" customFormat="1">
      <c r="D372" s="191"/>
    </row>
    <row r="373" spans="4:4" s="139" customFormat="1">
      <c r="D373" s="191"/>
    </row>
    <row r="374" spans="4:4" s="139" customFormat="1">
      <c r="D374" s="191"/>
    </row>
    <row r="375" spans="4:4" s="139" customFormat="1">
      <c r="D375" s="191"/>
    </row>
    <row r="376" spans="4:4" s="139" customFormat="1">
      <c r="D376" s="191"/>
    </row>
    <row r="377" spans="4:4" s="139" customFormat="1">
      <c r="D377" s="191"/>
    </row>
    <row r="378" spans="4:4" s="139" customFormat="1">
      <c r="D378" s="191"/>
    </row>
    <row r="379" spans="4:4" s="139" customFormat="1">
      <c r="D379" s="191"/>
    </row>
    <row r="380" spans="4:4" s="139" customFormat="1">
      <c r="D380" s="191"/>
    </row>
    <row r="381" spans="4:4" s="139" customFormat="1">
      <c r="D381" s="191"/>
    </row>
    <row r="382" spans="4:4" s="139" customFormat="1">
      <c r="D382" s="191"/>
    </row>
    <row r="383" spans="4:4" s="139" customFormat="1">
      <c r="D383" s="191"/>
    </row>
    <row r="384" spans="4:4" s="139" customFormat="1">
      <c r="D384" s="191"/>
    </row>
    <row r="385" spans="4:4" s="139" customFormat="1">
      <c r="D385" s="191"/>
    </row>
    <row r="386" spans="4:4" s="139" customFormat="1">
      <c r="D386" s="191"/>
    </row>
    <row r="387" spans="4:4" s="139" customFormat="1">
      <c r="D387" s="191"/>
    </row>
    <row r="388" spans="4:4" s="139" customFormat="1">
      <c r="D388" s="191"/>
    </row>
    <row r="389" spans="4:4" s="139" customFormat="1">
      <c r="D389" s="191"/>
    </row>
    <row r="390" spans="4:4" s="139" customFormat="1">
      <c r="D390" s="191"/>
    </row>
    <row r="391" spans="4:4" s="139" customFormat="1">
      <c r="D391" s="191"/>
    </row>
    <row r="392" spans="4:4" s="139" customFormat="1">
      <c r="D392" s="191"/>
    </row>
    <row r="393" spans="4:4" s="139" customFormat="1">
      <c r="D393" s="191"/>
    </row>
    <row r="394" spans="4:4" s="139" customFormat="1">
      <c r="D394" s="191"/>
    </row>
    <row r="395" spans="4:4" s="139" customFormat="1">
      <c r="D395" s="191"/>
    </row>
    <row r="396" spans="4:4" s="139" customFormat="1">
      <c r="D396" s="191"/>
    </row>
    <row r="397" spans="4:4" s="139" customFormat="1">
      <c r="D397" s="191"/>
    </row>
    <row r="398" spans="4:4" s="139" customFormat="1">
      <c r="D398" s="191"/>
    </row>
    <row r="399" spans="4:4" s="139" customFormat="1">
      <c r="D399" s="191"/>
    </row>
    <row r="400" spans="4:4" s="139" customFormat="1">
      <c r="D400" s="191"/>
    </row>
    <row r="401" spans="4:4" s="139" customFormat="1">
      <c r="D401" s="191"/>
    </row>
    <row r="402" spans="4:4" s="139" customFormat="1">
      <c r="D402" s="191"/>
    </row>
    <row r="403" spans="4:4" s="139" customFormat="1">
      <c r="D403" s="191"/>
    </row>
    <row r="404" spans="4:4" s="139" customFormat="1">
      <c r="D404" s="191"/>
    </row>
    <row r="405" spans="4:4" s="139" customFormat="1">
      <c r="D405" s="191"/>
    </row>
    <row r="406" spans="4:4" s="139" customFormat="1">
      <c r="D406" s="191"/>
    </row>
    <row r="407" spans="4:4" s="139" customFormat="1">
      <c r="D407" s="191"/>
    </row>
    <row r="408" spans="4:4" s="139" customFormat="1">
      <c r="D408" s="191"/>
    </row>
    <row r="409" spans="4:4" s="139" customFormat="1">
      <c r="D409" s="191"/>
    </row>
    <row r="410" spans="4:4" s="139" customFormat="1">
      <c r="D410" s="191"/>
    </row>
    <row r="411" spans="4:4" s="139" customFormat="1">
      <c r="D411" s="191"/>
    </row>
    <row r="412" spans="4:4" s="139" customFormat="1">
      <c r="D412" s="191"/>
    </row>
    <row r="413" spans="4:4" s="139" customFormat="1">
      <c r="D413" s="191"/>
    </row>
    <row r="414" spans="4:4" s="139" customFormat="1">
      <c r="D414" s="191"/>
    </row>
    <row r="415" spans="4:4" s="139" customFormat="1">
      <c r="D415" s="191"/>
    </row>
    <row r="416" spans="4:4" s="139" customFormat="1">
      <c r="D416" s="191"/>
    </row>
    <row r="417" spans="3:27" s="139" customFormat="1">
      <c r="D417" s="191"/>
    </row>
    <row r="418" spans="3:27" s="139" customFormat="1">
      <c r="D418" s="191"/>
    </row>
    <row r="419" spans="3:27" s="139" customFormat="1">
      <c r="D419" s="191"/>
    </row>
    <row r="420" spans="3:27" s="139" customFormat="1">
      <c r="D420" s="191"/>
    </row>
    <row r="421" spans="3:27" s="139" customFormat="1">
      <c r="D421" s="191"/>
    </row>
    <row r="422" spans="3:27" s="139" customFormat="1">
      <c r="D422" s="191"/>
    </row>
    <row r="423" spans="3:27" s="139" customFormat="1">
      <c r="D423" s="191"/>
    </row>
    <row r="424" spans="3:27" s="139" customFormat="1">
      <c r="D424" s="191"/>
    </row>
    <row r="425" spans="3:27" s="139" customFormat="1">
      <c r="C425" s="1"/>
      <c r="D425" s="86"/>
      <c r="E425" s="1"/>
      <c r="F425" s="1"/>
      <c r="G425" s="1"/>
      <c r="H425" s="1"/>
      <c r="I425" s="1"/>
      <c r="J425" s="1"/>
      <c r="K425" s="1"/>
      <c r="L425" s="1"/>
      <c r="M425" s="110"/>
      <c r="N425" s="1"/>
      <c r="O425" s="1"/>
      <c r="P425" s="1"/>
      <c r="Q425" s="1"/>
      <c r="R425" s="1"/>
      <c r="S425" s="1"/>
      <c r="T425" s="110"/>
      <c r="U425" s="1"/>
      <c r="V425" s="1"/>
      <c r="W425" s="1"/>
      <c r="X425" s="1"/>
      <c r="Y425" s="1"/>
      <c r="Z425" s="1"/>
      <c r="AA425" s="110"/>
    </row>
    <row r="426" spans="3:27" s="139" customFormat="1">
      <c r="C426" s="1"/>
      <c r="D426" s="86"/>
      <c r="E426" s="1"/>
      <c r="F426" s="1"/>
      <c r="G426" s="1"/>
      <c r="H426" s="1"/>
      <c r="I426" s="1"/>
      <c r="J426" s="1"/>
      <c r="K426" s="1"/>
      <c r="L426" s="1"/>
      <c r="M426" s="110"/>
      <c r="N426" s="1"/>
      <c r="O426" s="1"/>
      <c r="P426" s="1"/>
      <c r="Q426" s="1"/>
      <c r="R426" s="1"/>
      <c r="S426" s="1"/>
      <c r="T426" s="110"/>
      <c r="U426" s="1"/>
      <c r="V426" s="1"/>
      <c r="W426" s="1"/>
      <c r="X426" s="1"/>
      <c r="Y426" s="1"/>
      <c r="Z426" s="1"/>
      <c r="AA426" s="110"/>
    </row>
    <row r="427" spans="3:27" s="139" customFormat="1">
      <c r="C427" s="1"/>
      <c r="D427" s="86"/>
      <c r="E427" s="1"/>
      <c r="F427" s="1"/>
      <c r="G427" s="1"/>
      <c r="H427" s="1"/>
      <c r="I427" s="1"/>
      <c r="J427" s="1"/>
      <c r="K427" s="1"/>
      <c r="L427" s="1"/>
      <c r="M427" s="110"/>
      <c r="N427" s="1"/>
      <c r="O427" s="1"/>
      <c r="P427" s="1"/>
      <c r="Q427" s="1"/>
      <c r="R427" s="1"/>
      <c r="S427" s="1"/>
      <c r="T427" s="110"/>
      <c r="U427" s="1"/>
      <c r="V427" s="1"/>
      <c r="W427" s="1"/>
      <c r="X427" s="1"/>
      <c r="Y427" s="1"/>
      <c r="Z427" s="1"/>
      <c r="AA427" s="110"/>
    </row>
    <row r="428" spans="3:27" s="139" customFormat="1">
      <c r="C428" s="1"/>
      <c r="D428" s="86"/>
      <c r="E428" s="1"/>
      <c r="F428" s="1"/>
      <c r="G428" s="1"/>
      <c r="H428" s="1"/>
      <c r="I428" s="1"/>
      <c r="J428" s="1"/>
      <c r="K428" s="1"/>
      <c r="L428" s="1"/>
      <c r="M428" s="110"/>
      <c r="N428" s="1"/>
      <c r="O428" s="1"/>
      <c r="P428" s="1"/>
      <c r="Q428" s="1"/>
      <c r="R428" s="1"/>
      <c r="S428" s="1"/>
      <c r="T428" s="110"/>
      <c r="U428" s="1"/>
      <c r="V428" s="1"/>
      <c r="W428" s="1"/>
      <c r="X428" s="1"/>
      <c r="Y428" s="1"/>
      <c r="Z428" s="1"/>
      <c r="AA428" s="110"/>
    </row>
  </sheetData>
  <mergeCells count="60">
    <mergeCell ref="Y28:AA28"/>
    <mergeCell ref="D27:G27"/>
    <mergeCell ref="H27:J27"/>
    <mergeCell ref="K27:M27"/>
    <mergeCell ref="O27:U27"/>
    <mergeCell ref="V27:X27"/>
    <mergeCell ref="Y27:AA27"/>
    <mergeCell ref="D28:G28"/>
    <mergeCell ref="H28:J28"/>
    <mergeCell ref="K28:M28"/>
    <mergeCell ref="O28:U28"/>
    <mergeCell ref="V28:X28"/>
    <mergeCell ref="Y26:AA26"/>
    <mergeCell ref="D25:G25"/>
    <mergeCell ref="H25:J25"/>
    <mergeCell ref="K25:M25"/>
    <mergeCell ref="O25:U25"/>
    <mergeCell ref="V25:X25"/>
    <mergeCell ref="Y25:AA25"/>
    <mergeCell ref="D26:G26"/>
    <mergeCell ref="H26:J26"/>
    <mergeCell ref="K26:M26"/>
    <mergeCell ref="O26:U26"/>
    <mergeCell ref="V26:X26"/>
    <mergeCell ref="Y24:AA24"/>
    <mergeCell ref="C17:C18"/>
    <mergeCell ref="D17:D18"/>
    <mergeCell ref="E17:E18"/>
    <mergeCell ref="F17:F18"/>
    <mergeCell ref="C19:F20"/>
    <mergeCell ref="C21:F22"/>
    <mergeCell ref="H24:J24"/>
    <mergeCell ref="K24:M24"/>
    <mergeCell ref="V24:X24"/>
    <mergeCell ref="C15:C16"/>
    <mergeCell ref="D15:D16"/>
    <mergeCell ref="E15:E16"/>
    <mergeCell ref="F15:F16"/>
    <mergeCell ref="C11:C12"/>
    <mergeCell ref="D11:D12"/>
    <mergeCell ref="E11:E12"/>
    <mergeCell ref="F11:F12"/>
    <mergeCell ref="H11:J12"/>
    <mergeCell ref="C13:C14"/>
    <mergeCell ref="D13:D14"/>
    <mergeCell ref="E13:E14"/>
    <mergeCell ref="F13:F14"/>
    <mergeCell ref="H13:J14"/>
    <mergeCell ref="C7:C8"/>
    <mergeCell ref="D7:D8"/>
    <mergeCell ref="F7:F8"/>
    <mergeCell ref="C9:C10"/>
    <mergeCell ref="D9:D10"/>
    <mergeCell ref="E9:E10"/>
    <mergeCell ref="F9:F10"/>
    <mergeCell ref="C5:C6"/>
    <mergeCell ref="D5:D6"/>
    <mergeCell ref="F5:F6"/>
    <mergeCell ref="C2:N2"/>
    <mergeCell ref="K3:R3"/>
  </mergeCells>
  <phoneticPr fontId="10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0A2D-4C8C-4879-9F9B-1D2BF81FBE25}">
  <sheetPr codeName="Sheet7"/>
  <dimension ref="B1:AC446"/>
  <sheetViews>
    <sheetView showGridLines="0" zoomScale="85" zoomScaleNormal="85" workbookViewId="0">
      <selection activeCell="S22" sqref="S22"/>
    </sheetView>
  </sheetViews>
  <sheetFormatPr defaultColWidth="8.85546875" defaultRowHeight="19.5"/>
  <cols>
    <col min="1" max="2" width="8.85546875" style="1"/>
    <col min="3" max="3" width="4.5703125" style="1" bestFit="1" customWidth="1"/>
    <col min="4" max="4" width="16.28515625" style="86" bestFit="1" customWidth="1"/>
    <col min="5" max="5" width="13.42578125" style="1" bestFit="1" customWidth="1"/>
    <col min="6" max="6" width="8.28515625" style="1" bestFit="1" customWidth="1"/>
    <col min="7" max="7" width="6.140625" style="1" bestFit="1" customWidth="1"/>
    <col min="8" max="9" width="5.42578125" style="1" hidden="1" customWidth="1"/>
    <col min="10" max="12" width="6.28515625" style="1" hidden="1" customWidth="1"/>
    <col min="13" max="13" width="11.42578125" style="110" hidden="1" customWidth="1"/>
    <col min="14" max="14" width="7" style="231" bestFit="1" customWidth="1"/>
    <col min="15" max="16" width="8.28515625" style="231" bestFit="1" customWidth="1"/>
    <col min="17" max="17" width="8.42578125" style="231" bestFit="1" customWidth="1"/>
    <col min="18" max="18" width="8.42578125" style="232" bestFit="1" customWidth="1"/>
    <col min="19" max="19" width="8.42578125" style="231" bestFit="1" customWidth="1"/>
    <col min="20" max="20" width="11" style="304" bestFit="1" customWidth="1"/>
    <col min="21" max="24" width="8.42578125" style="231" bestFit="1" customWidth="1"/>
    <col min="25" max="26" width="9.42578125" style="231" bestFit="1" customWidth="1"/>
    <col min="27" max="27" width="11.42578125" style="304" customWidth="1"/>
    <col min="28" max="32" width="8.85546875" style="1"/>
    <col min="33" max="33" width="10" style="1" bestFit="1" customWidth="1"/>
    <col min="34" max="16384" width="8.85546875" style="1"/>
  </cols>
  <sheetData>
    <row r="1" spans="2:28">
      <c r="S1" s="233"/>
      <c r="T1" s="233"/>
      <c r="U1" s="233"/>
      <c r="V1" s="233"/>
      <c r="W1" s="233"/>
      <c r="X1" s="233"/>
      <c r="Y1" s="233"/>
      <c r="Z1" s="233"/>
      <c r="AA1" s="233"/>
      <c r="AB1" s="139"/>
    </row>
    <row r="2" spans="2:28" ht="38.25">
      <c r="C2" s="551" t="s">
        <v>0</v>
      </c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234"/>
      <c r="P2" s="234"/>
      <c r="Q2" s="234"/>
      <c r="R2" s="235"/>
      <c r="S2" s="236"/>
      <c r="T2" s="233"/>
      <c r="U2" s="236"/>
      <c r="V2" s="236"/>
      <c r="W2" s="236"/>
      <c r="X2" s="236"/>
      <c r="Y2" s="236"/>
      <c r="Z2" s="233"/>
      <c r="AA2" s="233"/>
      <c r="AB2" s="139"/>
    </row>
    <row r="3" spans="2:28" ht="25.5" thickBot="1">
      <c r="K3" s="637"/>
      <c r="L3" s="637"/>
      <c r="M3" s="637"/>
      <c r="N3" s="637"/>
      <c r="O3" s="637"/>
      <c r="P3" s="637"/>
      <c r="Q3" s="637"/>
      <c r="R3" s="681"/>
      <c r="S3" s="233"/>
      <c r="T3" s="233" t="s">
        <v>126</v>
      </c>
      <c r="U3" s="233"/>
      <c r="V3" s="233"/>
      <c r="W3" s="233"/>
      <c r="X3" s="233"/>
      <c r="Y3" s="233"/>
      <c r="Z3" s="233"/>
      <c r="AA3" s="237" t="s">
        <v>127</v>
      </c>
      <c r="AB3" s="139"/>
    </row>
    <row r="4" spans="2:28" ht="38.25" customHeight="1" thickBot="1">
      <c r="C4" s="45" t="s">
        <v>73</v>
      </c>
      <c r="D4" s="181" t="s">
        <v>7</v>
      </c>
      <c r="E4" s="46" t="s">
        <v>139</v>
      </c>
      <c r="F4" s="134" t="s">
        <v>107</v>
      </c>
      <c r="G4" s="46"/>
      <c r="H4" s="46" t="s">
        <v>8</v>
      </c>
      <c r="I4" s="46" t="s">
        <v>9</v>
      </c>
      <c r="J4" s="46" t="s">
        <v>10</v>
      </c>
      <c r="K4" s="46" t="s">
        <v>11</v>
      </c>
      <c r="L4" s="46" t="s">
        <v>74</v>
      </c>
      <c r="M4" s="105" t="s">
        <v>13</v>
      </c>
      <c r="N4" s="238" t="s">
        <v>14</v>
      </c>
      <c r="O4" s="238" t="s">
        <v>75</v>
      </c>
      <c r="P4" s="239" t="s">
        <v>76</v>
      </c>
      <c r="Q4" s="239" t="s">
        <v>77</v>
      </c>
      <c r="R4" s="239" t="s">
        <v>78</v>
      </c>
      <c r="S4" s="305" t="s">
        <v>79</v>
      </c>
      <c r="T4" s="240" t="s">
        <v>13</v>
      </c>
      <c r="U4" s="241" t="s">
        <v>80</v>
      </c>
      <c r="V4" s="238" t="s">
        <v>81</v>
      </c>
      <c r="W4" s="238" t="s">
        <v>82</v>
      </c>
      <c r="X4" s="238" t="s">
        <v>83</v>
      </c>
      <c r="Y4" s="238" t="s">
        <v>84</v>
      </c>
      <c r="Z4" s="242" t="s">
        <v>74</v>
      </c>
      <c r="AA4" s="243" t="s">
        <v>13</v>
      </c>
    </row>
    <row r="5" spans="2:28" ht="19.5" customHeight="1">
      <c r="B5" s="2"/>
      <c r="C5" s="596">
        <v>1</v>
      </c>
      <c r="D5" s="682" t="s">
        <v>140</v>
      </c>
      <c r="E5" s="683" t="s">
        <v>141</v>
      </c>
      <c r="F5" s="604" t="s">
        <v>129</v>
      </c>
      <c r="G5" s="35" t="s">
        <v>86</v>
      </c>
      <c r="H5" s="35">
        <v>0</v>
      </c>
      <c r="I5" s="35">
        <v>50</v>
      </c>
      <c r="J5" s="35">
        <v>50</v>
      </c>
      <c r="K5" s="35">
        <v>100</v>
      </c>
      <c r="L5" s="35">
        <v>100</v>
      </c>
      <c r="M5" s="108">
        <f t="shared" ref="M5" si="0">SUM(H5:L5)</f>
        <v>300</v>
      </c>
      <c r="N5" s="244">
        <v>130</v>
      </c>
      <c r="O5" s="244">
        <v>160</v>
      </c>
      <c r="P5" s="245">
        <v>160</v>
      </c>
      <c r="Q5" s="245">
        <v>160</v>
      </c>
      <c r="R5" s="306">
        <v>105</v>
      </c>
      <c r="S5" s="307">
        <v>160</v>
      </c>
      <c r="T5" s="247">
        <f t="shared" ref="T5:T25" si="1">SUM(N5:S5)</f>
        <v>875</v>
      </c>
      <c r="U5" s="244">
        <v>160</v>
      </c>
      <c r="V5" s="244">
        <f>160-5*8</f>
        <v>120</v>
      </c>
      <c r="W5" s="244">
        <v>160</v>
      </c>
      <c r="X5" s="244">
        <v>160</v>
      </c>
      <c r="Y5" s="244">
        <v>160</v>
      </c>
      <c r="Z5" s="244">
        <v>135</v>
      </c>
      <c r="AA5" s="248">
        <f>SUM(T5:Z5)</f>
        <v>1770</v>
      </c>
    </row>
    <row r="6" spans="2:28" ht="19.5" customHeight="1">
      <c r="B6" s="2"/>
      <c r="C6" s="597"/>
      <c r="D6" s="658"/>
      <c r="E6" s="659"/>
      <c r="F6" s="659"/>
      <c r="G6" s="166" t="s">
        <v>87</v>
      </c>
      <c r="H6" s="35"/>
      <c r="I6" s="35"/>
      <c r="J6" s="35"/>
      <c r="K6" s="35"/>
      <c r="L6" s="35"/>
      <c r="M6" s="108"/>
      <c r="N6" s="249">
        <v>80</v>
      </c>
      <c r="O6" s="249">
        <v>152</v>
      </c>
      <c r="P6" s="250">
        <f>40+40+40+40</f>
        <v>160</v>
      </c>
      <c r="Q6" s="250">
        <v>152</v>
      </c>
      <c r="R6" s="308">
        <v>161</v>
      </c>
      <c r="S6" s="309">
        <v>170.5</v>
      </c>
      <c r="T6" s="261">
        <f>SUM(N6:S6)</f>
        <v>875.5</v>
      </c>
      <c r="U6" s="253">
        <v>160</v>
      </c>
      <c r="V6" s="254"/>
      <c r="W6" s="254"/>
      <c r="X6" s="254"/>
      <c r="Y6" s="254"/>
      <c r="Z6" s="254"/>
      <c r="AA6" s="255">
        <f>SUM(T6:Z6)</f>
        <v>1035.5</v>
      </c>
    </row>
    <row r="7" spans="2:28" ht="19.5" customHeight="1">
      <c r="B7" s="2"/>
      <c r="C7" s="596">
        <f>C5+1</f>
        <v>2</v>
      </c>
      <c r="D7" s="660" t="s">
        <v>142</v>
      </c>
      <c r="E7" s="679" t="s">
        <v>143</v>
      </c>
      <c r="F7" s="604" t="s">
        <v>112</v>
      </c>
      <c r="G7" s="35" t="s">
        <v>86</v>
      </c>
      <c r="H7" s="35">
        <v>0</v>
      </c>
      <c r="I7" s="35">
        <v>50</v>
      </c>
      <c r="J7" s="35">
        <v>50</v>
      </c>
      <c r="K7" s="35">
        <v>100</v>
      </c>
      <c r="L7" s="35">
        <v>100</v>
      </c>
      <c r="M7" s="108">
        <f t="shared" ref="M7" si="2">SUM(H7:L7)</f>
        <v>300</v>
      </c>
      <c r="N7" s="244">
        <v>120</v>
      </c>
      <c r="O7" s="244">
        <v>150</v>
      </c>
      <c r="P7" s="256">
        <v>150</v>
      </c>
      <c r="Q7" s="256">
        <v>150</v>
      </c>
      <c r="R7" s="310">
        <v>100</v>
      </c>
      <c r="S7" s="311">
        <v>150</v>
      </c>
      <c r="T7" s="247">
        <f>SUM(N7:S7)</f>
        <v>820</v>
      </c>
      <c r="U7" s="244">
        <v>200</v>
      </c>
      <c r="V7" s="244">
        <v>180</v>
      </c>
      <c r="W7" s="244">
        <v>200</v>
      </c>
      <c r="X7" s="244">
        <v>200</v>
      </c>
      <c r="Y7" s="244">
        <v>200</v>
      </c>
      <c r="Z7" s="244">
        <v>180</v>
      </c>
      <c r="AA7" s="248">
        <f>SUM(T7:Z7)</f>
        <v>1980</v>
      </c>
    </row>
    <row r="8" spans="2:28" ht="19.5" customHeight="1">
      <c r="B8" s="2"/>
      <c r="C8" s="597"/>
      <c r="D8" s="661"/>
      <c r="E8" s="659"/>
      <c r="F8" s="605"/>
      <c r="G8" s="166" t="s">
        <v>87</v>
      </c>
      <c r="H8" s="35"/>
      <c r="I8" s="35"/>
      <c r="J8" s="35"/>
      <c r="K8" s="35"/>
      <c r="L8" s="35"/>
      <c r="M8" s="108"/>
      <c r="N8" s="249">
        <v>32</v>
      </c>
      <c r="O8" s="249">
        <v>56</v>
      </c>
      <c r="P8" s="259" t="s">
        <v>136</v>
      </c>
      <c r="Q8" s="259" t="s">
        <v>136</v>
      </c>
      <c r="R8" s="310"/>
      <c r="S8" s="312"/>
      <c r="T8" s="261">
        <f>SUM(N8:S8)</f>
        <v>88</v>
      </c>
      <c r="U8" s="254"/>
      <c r="V8" s="254"/>
      <c r="W8" s="254"/>
      <c r="X8" s="254"/>
      <c r="Y8" s="254"/>
      <c r="Z8" s="254"/>
      <c r="AA8" s="255">
        <f t="shared" ref="AA8:AA26" si="3">SUM(T8:Z8)</f>
        <v>88</v>
      </c>
    </row>
    <row r="9" spans="2:28" ht="19.5" customHeight="1">
      <c r="B9" s="2"/>
      <c r="C9" s="596">
        <f>C7+1</f>
        <v>3</v>
      </c>
      <c r="D9" s="660" t="s">
        <v>144</v>
      </c>
      <c r="E9" s="679" t="s">
        <v>145</v>
      </c>
      <c r="F9" s="604" t="s">
        <v>146</v>
      </c>
      <c r="G9" s="35" t="s">
        <v>86</v>
      </c>
      <c r="H9" s="35">
        <v>0</v>
      </c>
      <c r="I9" s="35">
        <v>50</v>
      </c>
      <c r="J9" s="35">
        <v>50</v>
      </c>
      <c r="K9" s="35">
        <v>100</v>
      </c>
      <c r="L9" s="35">
        <v>100</v>
      </c>
      <c r="M9" s="108">
        <f t="shared" ref="M9" si="4">SUM(H9:L9)</f>
        <v>300</v>
      </c>
      <c r="N9" s="244">
        <v>100</v>
      </c>
      <c r="O9" s="244">
        <v>100</v>
      </c>
      <c r="P9" s="245">
        <v>100</v>
      </c>
      <c r="Q9" s="262">
        <v>100</v>
      </c>
      <c r="R9" s="310">
        <v>80</v>
      </c>
      <c r="S9" s="313">
        <v>100</v>
      </c>
      <c r="T9" s="247">
        <f>SUM(N9:S9)</f>
        <v>580</v>
      </c>
      <c r="U9" s="258">
        <v>100</v>
      </c>
      <c r="V9" s="258">
        <v>80</v>
      </c>
      <c r="W9" s="258">
        <v>100</v>
      </c>
      <c r="X9" s="258">
        <v>100</v>
      </c>
      <c r="Y9" s="258">
        <v>100</v>
      </c>
      <c r="Z9" s="258">
        <v>80</v>
      </c>
      <c r="AA9" s="248">
        <f>SUM(T9:Z9)</f>
        <v>1140</v>
      </c>
    </row>
    <row r="10" spans="2:28" ht="19.5" customHeight="1">
      <c r="B10" s="2"/>
      <c r="C10" s="597"/>
      <c r="D10" s="661"/>
      <c r="E10" s="659"/>
      <c r="F10" s="605"/>
      <c r="G10" s="166" t="s">
        <v>87</v>
      </c>
      <c r="H10" s="35"/>
      <c r="I10" s="35"/>
      <c r="J10" s="35"/>
      <c r="K10" s="35"/>
      <c r="L10" s="35"/>
      <c r="M10" s="108"/>
      <c r="N10" s="249">
        <v>8</v>
      </c>
      <c r="O10" s="249" t="s">
        <v>136</v>
      </c>
      <c r="P10" s="250">
        <v>8</v>
      </c>
      <c r="Q10" s="259" t="s">
        <v>136</v>
      </c>
      <c r="R10" s="310"/>
      <c r="S10" s="312"/>
      <c r="T10" s="261">
        <f>SUM(N10:S10)</f>
        <v>16</v>
      </c>
      <c r="U10" s="264"/>
      <c r="V10" s="264"/>
      <c r="W10" s="264"/>
      <c r="X10" s="264"/>
      <c r="Y10" s="264"/>
      <c r="Z10" s="264"/>
      <c r="AA10" s="255">
        <f t="shared" ref="AA10" si="5">SUM(T10:Z10)</f>
        <v>16</v>
      </c>
    </row>
    <row r="11" spans="2:28" ht="19.5" customHeight="1">
      <c r="B11" s="2"/>
      <c r="C11" s="596">
        <f t="shared" ref="C11" si="6">C9+1</f>
        <v>4</v>
      </c>
      <c r="D11" s="657" t="s">
        <v>147</v>
      </c>
      <c r="E11" s="627" t="s">
        <v>114</v>
      </c>
      <c r="F11" s="604" t="s">
        <v>112</v>
      </c>
      <c r="G11" s="43" t="s">
        <v>86</v>
      </c>
      <c r="H11" s="35">
        <v>0</v>
      </c>
      <c r="I11" s="35">
        <v>150</v>
      </c>
      <c r="J11" s="35">
        <v>150</v>
      </c>
      <c r="K11" s="35">
        <v>0</v>
      </c>
      <c r="L11" s="35">
        <v>0</v>
      </c>
      <c r="M11" s="108">
        <f t="shared" ref="M11" si="7">SUM(H11:L11)</f>
        <v>300</v>
      </c>
      <c r="N11" s="258">
        <v>0</v>
      </c>
      <c r="O11" s="258">
        <v>50</v>
      </c>
      <c r="P11" s="256">
        <v>50</v>
      </c>
      <c r="Q11" s="256">
        <v>50</v>
      </c>
      <c r="R11" s="310">
        <v>50</v>
      </c>
      <c r="S11" s="311">
        <v>50</v>
      </c>
      <c r="T11" s="247">
        <f t="shared" si="1"/>
        <v>250</v>
      </c>
      <c r="U11" s="244">
        <v>50</v>
      </c>
      <c r="V11" s="244">
        <v>30</v>
      </c>
      <c r="W11" s="244">
        <v>50</v>
      </c>
      <c r="X11" s="244">
        <v>50</v>
      </c>
      <c r="Y11" s="244">
        <v>50</v>
      </c>
      <c r="Z11" s="244">
        <v>30</v>
      </c>
      <c r="AA11" s="248">
        <f>SUM(T11:Z11)</f>
        <v>510</v>
      </c>
    </row>
    <row r="12" spans="2:28" ht="19.5" customHeight="1">
      <c r="B12" s="2"/>
      <c r="C12" s="597"/>
      <c r="D12" s="658"/>
      <c r="E12" s="628"/>
      <c r="F12" s="659"/>
      <c r="G12" s="166" t="s">
        <v>99</v>
      </c>
      <c r="H12" s="72">
        <v>3</v>
      </c>
      <c r="I12" s="69">
        <v>74</v>
      </c>
      <c r="J12" s="69">
        <v>109</v>
      </c>
      <c r="K12" s="72">
        <v>150</v>
      </c>
      <c r="L12" s="72">
        <v>446</v>
      </c>
      <c r="M12" s="108"/>
      <c r="N12" s="264" t="s">
        <v>136</v>
      </c>
      <c r="O12" s="264" t="s">
        <v>136</v>
      </c>
      <c r="P12" s="265" t="s">
        <v>136</v>
      </c>
      <c r="Q12" s="265" t="s">
        <v>136</v>
      </c>
      <c r="R12" s="310"/>
      <c r="S12" s="314"/>
      <c r="T12" s="252">
        <f>SUM(N12:S12)</f>
        <v>0</v>
      </c>
      <c r="U12" s="320"/>
      <c r="V12" s="253"/>
      <c r="W12" s="254"/>
      <c r="X12" s="254"/>
      <c r="Y12" s="254"/>
      <c r="Z12" s="254"/>
      <c r="AA12" s="255">
        <f>SUM(T12:Z12)</f>
        <v>0</v>
      </c>
    </row>
    <row r="13" spans="2:28" ht="19.5" customHeight="1">
      <c r="B13" s="2"/>
      <c r="C13" s="596">
        <f t="shared" ref="C13:C15" si="8">C11+1</f>
        <v>5</v>
      </c>
      <c r="D13" s="657" t="s">
        <v>148</v>
      </c>
      <c r="E13" s="626" t="s">
        <v>149</v>
      </c>
      <c r="F13" s="604" t="s">
        <v>112</v>
      </c>
      <c r="G13" s="35" t="s">
        <v>86</v>
      </c>
      <c r="H13" s="606" t="s">
        <v>98</v>
      </c>
      <c r="I13" s="607"/>
      <c r="J13" s="608"/>
      <c r="K13" s="35"/>
      <c r="L13" s="35"/>
      <c r="M13" s="108"/>
      <c r="N13" s="258">
        <v>100</v>
      </c>
      <c r="O13" s="258">
        <v>100</v>
      </c>
      <c r="P13" s="256">
        <v>140</v>
      </c>
      <c r="Q13" s="256">
        <v>140</v>
      </c>
      <c r="R13" s="310">
        <v>120</v>
      </c>
      <c r="S13" s="311">
        <v>140</v>
      </c>
      <c r="T13" s="247">
        <f t="shared" si="1"/>
        <v>740</v>
      </c>
      <c r="U13" s="244">
        <v>140</v>
      </c>
      <c r="V13" s="244">
        <v>120</v>
      </c>
      <c r="W13" s="244">
        <v>140</v>
      </c>
      <c r="X13" s="244">
        <v>140</v>
      </c>
      <c r="Y13" s="244">
        <v>140</v>
      </c>
      <c r="Z13" s="244">
        <v>120</v>
      </c>
      <c r="AA13" s="248">
        <f>SUM(T13:Z13)</f>
        <v>1540</v>
      </c>
    </row>
    <row r="14" spans="2:28" ht="19.5" customHeight="1">
      <c r="B14" s="2"/>
      <c r="C14" s="597"/>
      <c r="D14" s="578"/>
      <c r="E14" s="626"/>
      <c r="F14" s="659"/>
      <c r="G14" s="168" t="s">
        <v>99</v>
      </c>
      <c r="H14" s="609"/>
      <c r="I14" s="610"/>
      <c r="J14" s="611"/>
      <c r="K14" s="35"/>
      <c r="L14" s="35"/>
      <c r="M14" s="108"/>
      <c r="N14" s="264" t="s">
        <v>136</v>
      </c>
      <c r="O14" s="264" t="s">
        <v>136</v>
      </c>
      <c r="P14" s="265" t="s">
        <v>136</v>
      </c>
      <c r="Q14" s="266" t="s">
        <v>136</v>
      </c>
      <c r="R14" s="310"/>
      <c r="S14" s="314"/>
      <c r="T14" s="252">
        <f>SUM(N14:S14)</f>
        <v>0</v>
      </c>
      <c r="U14" s="320"/>
      <c r="V14" s="254"/>
      <c r="W14" s="254"/>
      <c r="X14" s="254"/>
      <c r="Y14" s="254"/>
      <c r="Z14" s="254"/>
      <c r="AA14" s="255">
        <f t="shared" si="3"/>
        <v>0</v>
      </c>
    </row>
    <row r="15" spans="2:28" ht="19.5" customHeight="1">
      <c r="B15" s="2"/>
      <c r="C15" s="596">
        <f t="shared" si="8"/>
        <v>6</v>
      </c>
      <c r="D15" s="662" t="s">
        <v>150</v>
      </c>
      <c r="E15" s="689" t="s">
        <v>151</v>
      </c>
      <c r="F15" s="691" t="s">
        <v>112</v>
      </c>
      <c r="G15" s="35" t="s">
        <v>86</v>
      </c>
      <c r="H15" s="606" t="s">
        <v>98</v>
      </c>
      <c r="I15" s="607"/>
      <c r="J15" s="608"/>
      <c r="K15" s="35"/>
      <c r="L15" s="35"/>
      <c r="M15" s="108"/>
      <c r="N15" s="258">
        <v>100</v>
      </c>
      <c r="O15" s="258">
        <v>100</v>
      </c>
      <c r="P15" s="256">
        <v>100</v>
      </c>
      <c r="Q15" s="256">
        <v>100</v>
      </c>
      <c r="R15" s="310">
        <v>80</v>
      </c>
      <c r="S15" s="311">
        <v>100</v>
      </c>
      <c r="T15" s="247">
        <f t="shared" ref="T15" si="9">SUM(N15:S15)</f>
        <v>580</v>
      </c>
      <c r="U15" s="244">
        <v>100</v>
      </c>
      <c r="V15" s="244">
        <v>80</v>
      </c>
      <c r="W15" s="244">
        <v>100</v>
      </c>
      <c r="X15" s="244">
        <v>100</v>
      </c>
      <c r="Y15" s="244">
        <v>100</v>
      </c>
      <c r="Z15" s="244">
        <v>80</v>
      </c>
      <c r="AA15" s="248">
        <f>SUM(T15:Z15)</f>
        <v>1140</v>
      </c>
    </row>
    <row r="16" spans="2:28" ht="19.5" customHeight="1">
      <c r="B16" s="2"/>
      <c r="C16" s="597"/>
      <c r="D16" s="688"/>
      <c r="E16" s="690"/>
      <c r="F16" s="692"/>
      <c r="G16" s="168" t="s">
        <v>152</v>
      </c>
      <c r="H16" s="609"/>
      <c r="I16" s="610"/>
      <c r="J16" s="611"/>
      <c r="K16" s="35"/>
      <c r="L16" s="35"/>
      <c r="M16" s="108"/>
      <c r="N16" s="264" t="s">
        <v>136</v>
      </c>
      <c r="O16" s="264" t="s">
        <v>136</v>
      </c>
      <c r="P16" s="265" t="s">
        <v>136</v>
      </c>
      <c r="Q16" s="266" t="s">
        <v>136</v>
      </c>
      <c r="R16" s="310"/>
      <c r="S16" s="311"/>
      <c r="T16" s="252">
        <f>SUM(N16:S16)</f>
        <v>0</v>
      </c>
      <c r="U16" s="321"/>
      <c r="V16" s="244"/>
      <c r="W16" s="244"/>
      <c r="X16" s="244"/>
      <c r="Y16" s="244"/>
      <c r="Z16" s="244"/>
      <c r="AA16" s="255">
        <f t="shared" ref="AA16" si="10">SUM(T16:Z16)</f>
        <v>0</v>
      </c>
    </row>
    <row r="17" spans="2:27" ht="19.5" customHeight="1">
      <c r="B17" s="2"/>
      <c r="C17" s="596">
        <v>7</v>
      </c>
      <c r="D17" s="657" t="s">
        <v>137</v>
      </c>
      <c r="E17" s="626" t="s">
        <v>153</v>
      </c>
      <c r="F17" s="618" t="s">
        <v>154</v>
      </c>
      <c r="G17" s="169" t="s">
        <v>86</v>
      </c>
      <c r="H17" s="83"/>
      <c r="I17" s="84"/>
      <c r="J17" s="85"/>
      <c r="K17" s="62"/>
      <c r="L17" s="62"/>
      <c r="M17" s="109"/>
      <c r="N17" s="268" t="s">
        <v>136</v>
      </c>
      <c r="O17" s="268" t="s">
        <v>136</v>
      </c>
      <c r="P17" s="269" t="s">
        <v>136</v>
      </c>
      <c r="Q17" s="256">
        <v>100</v>
      </c>
      <c r="R17" s="315">
        <v>80</v>
      </c>
      <c r="S17" s="316">
        <v>100</v>
      </c>
      <c r="T17" s="247">
        <f t="shared" ref="T17" si="11">SUM(N17:S17)</f>
        <v>280</v>
      </c>
      <c r="U17" s="244">
        <v>100</v>
      </c>
      <c r="V17" s="244">
        <v>80</v>
      </c>
      <c r="W17" s="244">
        <v>100</v>
      </c>
      <c r="X17" s="244">
        <v>100</v>
      </c>
      <c r="Y17" s="244">
        <v>100</v>
      </c>
      <c r="Z17" s="244">
        <v>80</v>
      </c>
      <c r="AA17" s="248">
        <f>SUM(T17:Z17)</f>
        <v>840</v>
      </c>
    </row>
    <row r="18" spans="2:27" ht="19.5" customHeight="1">
      <c r="B18" s="2"/>
      <c r="C18" s="597"/>
      <c r="D18" s="578"/>
      <c r="E18" s="679"/>
      <c r="F18" s="541"/>
      <c r="G18" s="168" t="s">
        <v>99</v>
      </c>
      <c r="H18" s="83"/>
      <c r="I18" s="84"/>
      <c r="J18" s="85"/>
      <c r="K18" s="62"/>
      <c r="L18" s="62"/>
      <c r="M18" s="109"/>
      <c r="N18" s="270" t="s">
        <v>136</v>
      </c>
      <c r="O18" s="270" t="s">
        <v>136</v>
      </c>
      <c r="P18" s="271" t="s">
        <v>136</v>
      </c>
      <c r="Q18" s="271" t="s">
        <v>136</v>
      </c>
      <c r="R18" s="308">
        <v>3</v>
      </c>
      <c r="S18" s="316"/>
      <c r="T18" s="252">
        <f>SUM(N18:S18)</f>
        <v>3</v>
      </c>
      <c r="U18" s="321"/>
      <c r="V18" s="244"/>
      <c r="W18" s="244"/>
      <c r="X18" s="244"/>
      <c r="Y18" s="244"/>
      <c r="Z18" s="244"/>
      <c r="AA18" s="255">
        <f t="shared" ref="AA18" si="12">SUM(T18:Z18)</f>
        <v>3</v>
      </c>
    </row>
    <row r="19" spans="2:27" ht="19.5" customHeight="1">
      <c r="B19" s="2"/>
      <c r="C19" s="596">
        <v>8</v>
      </c>
      <c r="D19" s="662" t="s">
        <v>155</v>
      </c>
      <c r="E19" s="689" t="s">
        <v>151</v>
      </c>
      <c r="F19" s="691" t="s">
        <v>112</v>
      </c>
      <c r="G19" s="169" t="s">
        <v>86</v>
      </c>
      <c r="H19" s="667" t="s">
        <v>101</v>
      </c>
      <c r="I19" s="607"/>
      <c r="J19" s="608"/>
      <c r="K19" s="35"/>
      <c r="L19" s="35"/>
      <c r="M19" s="108"/>
      <c r="N19" s="244">
        <v>100</v>
      </c>
      <c r="O19" s="244">
        <v>100</v>
      </c>
      <c r="P19" s="245">
        <v>100</v>
      </c>
      <c r="Q19" s="245">
        <v>100</v>
      </c>
      <c r="R19" s="315">
        <v>80</v>
      </c>
      <c r="S19" s="307">
        <v>100</v>
      </c>
      <c r="T19" s="247">
        <f t="shared" si="1"/>
        <v>580</v>
      </c>
      <c r="U19" s="244">
        <v>100</v>
      </c>
      <c r="V19" s="244">
        <v>80</v>
      </c>
      <c r="W19" s="244">
        <v>100</v>
      </c>
      <c r="X19" s="244">
        <v>100</v>
      </c>
      <c r="Y19" s="244">
        <v>100</v>
      </c>
      <c r="Z19" s="244">
        <v>80</v>
      </c>
      <c r="AA19" s="248">
        <f>SUM(T19:Z19)</f>
        <v>1140</v>
      </c>
    </row>
    <row r="20" spans="2:27" ht="19.5" customHeight="1">
      <c r="B20" s="2"/>
      <c r="C20" s="668"/>
      <c r="D20" s="693"/>
      <c r="E20" s="690"/>
      <c r="F20" s="694"/>
      <c r="G20" s="168" t="s">
        <v>99</v>
      </c>
      <c r="H20" s="609"/>
      <c r="I20" s="610"/>
      <c r="J20" s="611"/>
      <c r="K20" s="35"/>
      <c r="L20" s="35"/>
      <c r="M20" s="108"/>
      <c r="N20" s="254">
        <v>74</v>
      </c>
      <c r="O20" s="254">
        <v>72</v>
      </c>
      <c r="P20" s="272">
        <v>208</v>
      </c>
      <c r="Q20" s="250">
        <v>10</v>
      </c>
      <c r="R20" s="315" t="s">
        <v>136</v>
      </c>
      <c r="S20" s="309"/>
      <c r="T20" s="273">
        <f>SUM(N20:S20)</f>
        <v>364</v>
      </c>
      <c r="U20" s="244"/>
      <c r="V20" s="244"/>
      <c r="W20" s="244"/>
      <c r="X20" s="244"/>
      <c r="Y20" s="244"/>
      <c r="Z20" s="244"/>
      <c r="AA20" s="255">
        <f t="shared" si="3"/>
        <v>364</v>
      </c>
    </row>
    <row r="21" spans="2:27" ht="19.5" customHeight="1">
      <c r="B21" s="2"/>
      <c r="C21" s="673">
        <v>9</v>
      </c>
      <c r="D21" s="664" t="s">
        <v>156</v>
      </c>
      <c r="E21" s="685" t="s">
        <v>151</v>
      </c>
      <c r="F21" s="669" t="s">
        <v>112</v>
      </c>
      <c r="G21" s="169" t="s">
        <v>86</v>
      </c>
      <c r="H21" s="667" t="s">
        <v>101</v>
      </c>
      <c r="I21" s="607"/>
      <c r="J21" s="608"/>
      <c r="K21" s="35"/>
      <c r="L21" s="35"/>
      <c r="M21" s="108"/>
      <c r="N21" s="244" t="s">
        <v>136</v>
      </c>
      <c r="O21" s="244" t="s">
        <v>136</v>
      </c>
      <c r="P21" s="245" t="s">
        <v>136</v>
      </c>
      <c r="Q21" s="245" t="s">
        <v>136</v>
      </c>
      <c r="R21" s="315" t="s">
        <v>136</v>
      </c>
      <c r="S21" s="307" t="s">
        <v>136</v>
      </c>
      <c r="T21" s="247">
        <f t="shared" ref="T21" si="13">SUM(N21:S21)</f>
        <v>0</v>
      </c>
      <c r="U21" s="244" t="s">
        <v>136</v>
      </c>
      <c r="V21" s="244" t="s">
        <v>136</v>
      </c>
      <c r="W21" s="244" t="s">
        <v>136</v>
      </c>
      <c r="X21" s="244" t="s">
        <v>136</v>
      </c>
      <c r="Y21" s="244" t="s">
        <v>136</v>
      </c>
      <c r="Z21" s="244" t="s">
        <v>136</v>
      </c>
      <c r="AA21" s="248">
        <f>SUM(T21:Z21)</f>
        <v>0</v>
      </c>
    </row>
    <row r="22" spans="2:27" ht="19.5" customHeight="1">
      <c r="B22" s="2"/>
      <c r="C22" s="674"/>
      <c r="D22" s="684"/>
      <c r="E22" s="686"/>
      <c r="F22" s="670"/>
      <c r="G22" s="168" t="s">
        <v>99</v>
      </c>
      <c r="H22" s="609"/>
      <c r="I22" s="610"/>
      <c r="J22" s="611"/>
      <c r="K22" s="35"/>
      <c r="L22" s="35"/>
      <c r="M22" s="108"/>
      <c r="N22" s="254" t="s">
        <v>136</v>
      </c>
      <c r="O22" s="254" t="s">
        <v>136</v>
      </c>
      <c r="P22" s="272">
        <v>85</v>
      </c>
      <c r="Q22" s="272" t="s">
        <v>136</v>
      </c>
      <c r="R22" s="308" t="s">
        <v>136</v>
      </c>
      <c r="S22" s="309" t="s">
        <v>136</v>
      </c>
      <c r="T22" s="252">
        <f>SUM(N22:S22)</f>
        <v>85</v>
      </c>
      <c r="U22" s="244" t="s">
        <v>136</v>
      </c>
      <c r="V22" s="244"/>
      <c r="W22" s="244"/>
      <c r="X22" s="244"/>
      <c r="Y22" s="244"/>
      <c r="Z22" s="244"/>
      <c r="AA22" s="255">
        <f t="shared" ref="AA22" si="14">SUM(T22:Z22)</f>
        <v>85</v>
      </c>
    </row>
    <row r="23" spans="2:27" ht="19.5" customHeight="1">
      <c r="B23" s="2"/>
      <c r="C23" s="673">
        <v>9</v>
      </c>
      <c r="D23" s="664" t="s">
        <v>157</v>
      </c>
      <c r="E23" s="685" t="s">
        <v>151</v>
      </c>
      <c r="F23" s="669" t="s">
        <v>112</v>
      </c>
      <c r="G23" s="169" t="s">
        <v>86</v>
      </c>
      <c r="H23" s="667" t="s">
        <v>101</v>
      </c>
      <c r="I23" s="607"/>
      <c r="J23" s="608"/>
      <c r="K23" s="35"/>
      <c r="L23" s="35"/>
      <c r="M23" s="108"/>
      <c r="N23" s="244" t="s">
        <v>136</v>
      </c>
      <c r="O23" s="244" t="s">
        <v>136</v>
      </c>
      <c r="P23" s="245" t="s">
        <v>136</v>
      </c>
      <c r="Q23" s="245" t="s">
        <v>136</v>
      </c>
      <c r="R23" s="315" t="s">
        <v>136</v>
      </c>
      <c r="S23" s="307" t="s">
        <v>136</v>
      </c>
      <c r="T23" s="247">
        <f t="shared" ref="T23" si="15">SUM(N23:S23)</f>
        <v>0</v>
      </c>
      <c r="U23" s="244" t="s">
        <v>136</v>
      </c>
      <c r="V23" s="244" t="s">
        <v>136</v>
      </c>
      <c r="W23" s="244" t="s">
        <v>136</v>
      </c>
      <c r="X23" s="244" t="s">
        <v>136</v>
      </c>
      <c r="Y23" s="244" t="s">
        <v>136</v>
      </c>
      <c r="Z23" s="244" t="s">
        <v>136</v>
      </c>
      <c r="AA23" s="248">
        <f>SUM(T23:Z23)</f>
        <v>0</v>
      </c>
    </row>
    <row r="24" spans="2:27" ht="19.5" customHeight="1">
      <c r="B24" s="2"/>
      <c r="C24" s="674"/>
      <c r="D24" s="684"/>
      <c r="E24" s="686"/>
      <c r="F24" s="670"/>
      <c r="G24" s="168" t="s">
        <v>99</v>
      </c>
      <c r="H24" s="609"/>
      <c r="I24" s="610"/>
      <c r="J24" s="611"/>
      <c r="K24" s="35"/>
      <c r="L24" s="35"/>
      <c r="M24" s="108"/>
      <c r="N24" s="254" t="s">
        <v>136</v>
      </c>
      <c r="O24" s="254" t="s">
        <v>136</v>
      </c>
      <c r="P24" s="272" t="s">
        <v>136</v>
      </c>
      <c r="Q24" s="272" t="s">
        <v>136</v>
      </c>
      <c r="R24" s="308">
        <v>110</v>
      </c>
      <c r="S24" s="309" t="s">
        <v>136</v>
      </c>
      <c r="T24" s="252">
        <f>SUM(N24:S24)</f>
        <v>110</v>
      </c>
      <c r="U24" s="244" t="s">
        <v>136</v>
      </c>
      <c r="V24" s="254">
        <v>50</v>
      </c>
      <c r="W24" s="244"/>
      <c r="X24" s="244"/>
      <c r="Y24" s="244"/>
      <c r="Z24" s="244"/>
      <c r="AA24" s="255">
        <f t="shared" ref="AA24" si="16">SUM(T24:Z24)</f>
        <v>160</v>
      </c>
    </row>
    <row r="25" spans="2:27" ht="19.5" customHeight="1">
      <c r="B25" s="2"/>
      <c r="C25" s="596">
        <v>10</v>
      </c>
      <c r="D25" s="664" t="s">
        <v>158</v>
      </c>
      <c r="E25" s="671" t="s">
        <v>151</v>
      </c>
      <c r="F25" s="669" t="s">
        <v>112</v>
      </c>
      <c r="G25" s="169" t="s">
        <v>86</v>
      </c>
      <c r="H25" s="83"/>
      <c r="I25" s="84"/>
      <c r="J25" s="85"/>
      <c r="K25" s="62"/>
      <c r="L25" s="62"/>
      <c r="M25" s="109"/>
      <c r="N25" s="244" t="s">
        <v>136</v>
      </c>
      <c r="O25" s="244" t="s">
        <v>136</v>
      </c>
      <c r="P25" s="256">
        <v>150</v>
      </c>
      <c r="Q25" s="256">
        <v>250</v>
      </c>
      <c r="R25" s="310">
        <v>150</v>
      </c>
      <c r="S25" s="311">
        <v>0</v>
      </c>
      <c r="T25" s="247">
        <f t="shared" si="1"/>
        <v>550</v>
      </c>
      <c r="U25" s="244">
        <v>0</v>
      </c>
      <c r="V25" s="244">
        <v>0</v>
      </c>
      <c r="W25" s="244">
        <v>150</v>
      </c>
      <c r="X25" s="244">
        <v>250</v>
      </c>
      <c r="Y25" s="244">
        <v>150</v>
      </c>
      <c r="Z25" s="244">
        <v>0</v>
      </c>
      <c r="AA25" s="248">
        <f>SUM(T25:Z25)</f>
        <v>1100</v>
      </c>
    </row>
    <row r="26" spans="2:27" ht="19.5" customHeight="1">
      <c r="B26" s="2"/>
      <c r="C26" s="668"/>
      <c r="D26" s="665"/>
      <c r="E26" s="671"/>
      <c r="F26" s="672"/>
      <c r="G26" s="168" t="s">
        <v>99</v>
      </c>
      <c r="H26" s="83"/>
      <c r="I26" s="84"/>
      <c r="J26" s="85"/>
      <c r="K26" s="62"/>
      <c r="L26" s="62"/>
      <c r="M26" s="109"/>
      <c r="N26" s="254" t="s">
        <v>136</v>
      </c>
      <c r="O26" s="254" t="s">
        <v>136</v>
      </c>
      <c r="P26" s="265" t="s">
        <v>136</v>
      </c>
      <c r="Q26" s="265" t="s">
        <v>136</v>
      </c>
      <c r="R26" s="310"/>
      <c r="S26" s="314"/>
      <c r="T26" s="252">
        <f>SUM(N26:S26)</f>
        <v>0</v>
      </c>
      <c r="U26" s="267"/>
      <c r="V26" s="244"/>
      <c r="W26" s="244"/>
      <c r="X26" s="244"/>
      <c r="Y26" s="244"/>
      <c r="Z26" s="244"/>
      <c r="AA26" s="255">
        <f t="shared" si="3"/>
        <v>0</v>
      </c>
    </row>
    <row r="27" spans="2:27" ht="19.5" customHeight="1">
      <c r="B27" s="2"/>
      <c r="C27" s="673">
        <v>11</v>
      </c>
      <c r="D27" s="664" t="s">
        <v>159</v>
      </c>
      <c r="E27" s="633"/>
      <c r="F27" s="669"/>
      <c r="G27" s="169" t="s">
        <v>86</v>
      </c>
      <c r="H27" s="83"/>
      <c r="I27" s="84"/>
      <c r="J27" s="85"/>
      <c r="K27" s="62"/>
      <c r="L27" s="62"/>
      <c r="M27" s="109"/>
      <c r="N27" s="244" t="s">
        <v>136</v>
      </c>
      <c r="O27" s="244" t="s">
        <v>136</v>
      </c>
      <c r="P27" s="245" t="s">
        <v>136</v>
      </c>
      <c r="Q27" s="245" t="s">
        <v>136</v>
      </c>
      <c r="R27" s="315" t="s">
        <v>136</v>
      </c>
      <c r="S27" s="307" t="s">
        <v>136</v>
      </c>
      <c r="T27" s="247" t="s">
        <v>136</v>
      </c>
      <c r="U27" s="244">
        <v>50</v>
      </c>
      <c r="V27" s="244">
        <v>30</v>
      </c>
      <c r="W27" s="244">
        <v>50</v>
      </c>
      <c r="X27" s="244">
        <v>50</v>
      </c>
      <c r="Y27" s="244">
        <v>50</v>
      </c>
      <c r="Z27" s="244">
        <v>30</v>
      </c>
      <c r="AA27" s="248">
        <f>SUM(T27:Z27)</f>
        <v>260</v>
      </c>
    </row>
    <row r="28" spans="2:27" ht="19.5" customHeight="1">
      <c r="B28" s="2"/>
      <c r="C28" s="674"/>
      <c r="D28" s="665"/>
      <c r="E28" s="675"/>
      <c r="F28" s="672"/>
      <c r="G28" s="168" t="s">
        <v>99</v>
      </c>
      <c r="H28" s="83"/>
      <c r="I28" s="84"/>
      <c r="J28" s="85"/>
      <c r="K28" s="62"/>
      <c r="L28" s="62"/>
      <c r="M28" s="109"/>
      <c r="N28" s="254" t="s">
        <v>136</v>
      </c>
      <c r="O28" s="254" t="s">
        <v>136</v>
      </c>
      <c r="P28" s="272" t="s">
        <v>136</v>
      </c>
      <c r="Q28" s="272" t="s">
        <v>136</v>
      </c>
      <c r="R28" s="315" t="s">
        <v>136</v>
      </c>
      <c r="S28" s="317"/>
      <c r="T28" s="275"/>
      <c r="U28" s="267"/>
      <c r="V28" s="244"/>
      <c r="W28" s="244"/>
      <c r="X28" s="244"/>
      <c r="Y28" s="244"/>
      <c r="Z28" s="244"/>
      <c r="AA28" s="255">
        <f t="shared" ref="AA28" si="17">SUM(T28:Z28)</f>
        <v>0</v>
      </c>
    </row>
    <row r="29" spans="2:27" ht="19.5" customHeight="1">
      <c r="B29" s="2"/>
      <c r="C29" s="596">
        <v>12</v>
      </c>
      <c r="D29" s="676" t="s">
        <v>159</v>
      </c>
      <c r="E29" s="678"/>
      <c r="F29" s="669"/>
      <c r="G29" s="169" t="s">
        <v>86</v>
      </c>
      <c r="H29" s="83"/>
      <c r="I29" s="84"/>
      <c r="J29" s="85"/>
      <c r="K29" s="62"/>
      <c r="L29" s="62"/>
      <c r="M29" s="109"/>
      <c r="N29" s="244" t="s">
        <v>136</v>
      </c>
      <c r="O29" s="244" t="s">
        <v>136</v>
      </c>
      <c r="P29" s="245" t="s">
        <v>136</v>
      </c>
      <c r="Q29" s="245" t="s">
        <v>136</v>
      </c>
      <c r="R29" s="315" t="s">
        <v>136</v>
      </c>
      <c r="S29" s="307" t="s">
        <v>136</v>
      </c>
      <c r="T29" s="247" t="s">
        <v>160</v>
      </c>
      <c r="U29" s="244" t="s">
        <v>136</v>
      </c>
      <c r="V29" s="244" t="s">
        <v>136</v>
      </c>
      <c r="W29" s="244">
        <v>30</v>
      </c>
      <c r="X29" s="244">
        <v>40</v>
      </c>
      <c r="Y29" s="244">
        <v>40</v>
      </c>
      <c r="Z29" s="244">
        <v>20</v>
      </c>
      <c r="AA29" s="248">
        <f>SUM(T29:Z29)</f>
        <v>130</v>
      </c>
    </row>
    <row r="30" spans="2:27" ht="19.5" customHeight="1">
      <c r="B30" s="2"/>
      <c r="C30" s="668"/>
      <c r="D30" s="677"/>
      <c r="E30" s="679"/>
      <c r="F30" s="672"/>
      <c r="G30" s="168" t="s">
        <v>99</v>
      </c>
      <c r="H30" s="83"/>
      <c r="I30" s="84"/>
      <c r="J30" s="85"/>
      <c r="K30" s="62"/>
      <c r="L30" s="62"/>
      <c r="M30" s="109"/>
      <c r="N30" s="254" t="s">
        <v>136</v>
      </c>
      <c r="O30" s="254" t="s">
        <v>136</v>
      </c>
      <c r="P30" s="272" t="s">
        <v>136</v>
      </c>
      <c r="Q30" s="272" t="s">
        <v>136</v>
      </c>
      <c r="R30" s="315" t="s">
        <v>136</v>
      </c>
      <c r="S30" s="317"/>
      <c r="T30" s="275"/>
      <c r="U30" s="267"/>
      <c r="V30" s="244"/>
      <c r="W30" s="244"/>
      <c r="X30" s="244"/>
      <c r="Y30" s="244"/>
      <c r="Z30" s="244"/>
      <c r="AA30" s="255">
        <f t="shared" ref="AA30" si="18">SUM(T30:Z30)</f>
        <v>0</v>
      </c>
    </row>
    <row r="31" spans="2:27" ht="23.1" hidden="1" customHeight="1">
      <c r="B31" s="2"/>
      <c r="C31" s="673">
        <v>13</v>
      </c>
      <c r="D31" s="664"/>
      <c r="E31" s="680"/>
      <c r="F31" s="669"/>
      <c r="G31" s="169" t="s">
        <v>86</v>
      </c>
      <c r="H31" s="83"/>
      <c r="I31" s="84"/>
      <c r="J31" s="85"/>
      <c r="K31" s="62"/>
      <c r="L31" s="62"/>
      <c r="M31" s="109"/>
      <c r="N31" s="244" t="s">
        <v>136</v>
      </c>
      <c r="O31" s="244" t="s">
        <v>136</v>
      </c>
      <c r="P31" s="245" t="s">
        <v>136</v>
      </c>
      <c r="Q31" s="245" t="s">
        <v>136</v>
      </c>
      <c r="R31" s="315" t="s">
        <v>136</v>
      </c>
      <c r="S31" s="307" t="s">
        <v>136</v>
      </c>
      <c r="T31" s="247" t="s">
        <v>160</v>
      </c>
      <c r="U31" s="276"/>
      <c r="V31" s="276"/>
      <c r="W31" s="276"/>
      <c r="X31" s="276"/>
      <c r="Y31" s="276"/>
      <c r="Z31" s="276"/>
      <c r="AA31" s="248">
        <f>SUM(T31:Z31)</f>
        <v>0</v>
      </c>
    </row>
    <row r="32" spans="2:27" ht="23.1" hidden="1" customHeight="1">
      <c r="B32" s="2"/>
      <c r="C32" s="674"/>
      <c r="D32" s="665"/>
      <c r="E32" s="675"/>
      <c r="F32" s="670"/>
      <c r="G32" s="168" t="s">
        <v>99</v>
      </c>
      <c r="H32" s="83"/>
      <c r="I32" s="84"/>
      <c r="J32" s="85"/>
      <c r="K32" s="62"/>
      <c r="L32" s="62"/>
      <c r="M32" s="109"/>
      <c r="N32" s="254" t="s">
        <v>136</v>
      </c>
      <c r="O32" s="254" t="s">
        <v>136</v>
      </c>
      <c r="P32" s="272" t="s">
        <v>136</v>
      </c>
      <c r="Q32" s="272" t="s">
        <v>136</v>
      </c>
      <c r="R32" s="315" t="s">
        <v>136</v>
      </c>
      <c r="S32" s="317"/>
      <c r="T32" s="275"/>
      <c r="U32" s="267"/>
      <c r="V32" s="244"/>
      <c r="W32" s="244"/>
      <c r="X32" s="244"/>
      <c r="Y32" s="244"/>
      <c r="Z32" s="244"/>
      <c r="AA32" s="255">
        <f t="shared" ref="AA32" si="19">SUM(T32:Z32)</f>
        <v>0</v>
      </c>
    </row>
    <row r="33" spans="2:29" ht="23.1" hidden="1" customHeight="1">
      <c r="B33" s="2"/>
      <c r="C33" s="596">
        <v>14</v>
      </c>
      <c r="D33" s="698"/>
      <c r="E33" s="695"/>
      <c r="F33" s="710"/>
      <c r="G33" s="228" t="s">
        <v>86</v>
      </c>
      <c r="H33" s="229"/>
      <c r="I33" s="229"/>
      <c r="J33" s="230"/>
      <c r="K33" s="35"/>
      <c r="L33" s="35"/>
      <c r="M33" s="108"/>
      <c r="N33" s="244" t="s">
        <v>136</v>
      </c>
      <c r="O33" s="244" t="s">
        <v>136</v>
      </c>
      <c r="P33" s="245" t="s">
        <v>136</v>
      </c>
      <c r="Q33" s="245" t="s">
        <v>136</v>
      </c>
      <c r="R33" s="315" t="s">
        <v>136</v>
      </c>
      <c r="S33" s="307" t="s">
        <v>136</v>
      </c>
      <c r="T33" s="247" t="s">
        <v>160</v>
      </c>
      <c r="U33" s="244" t="s">
        <v>136</v>
      </c>
      <c r="V33" s="244" t="s">
        <v>136</v>
      </c>
      <c r="W33" s="244" t="s">
        <v>136</v>
      </c>
      <c r="X33" s="244" t="s">
        <v>136</v>
      </c>
      <c r="Y33" s="244" t="s">
        <v>136</v>
      </c>
      <c r="Z33" s="244" t="s">
        <v>136</v>
      </c>
      <c r="AA33" s="255"/>
    </row>
    <row r="34" spans="2:29" ht="23.1" hidden="1" customHeight="1">
      <c r="B34" s="2"/>
      <c r="C34" s="668"/>
      <c r="D34" s="698"/>
      <c r="E34" s="696"/>
      <c r="F34" s="711"/>
      <c r="G34" s="168" t="s">
        <v>99</v>
      </c>
      <c r="H34" s="229"/>
      <c r="I34" s="229"/>
      <c r="J34" s="230"/>
      <c r="K34" s="35"/>
      <c r="L34" s="35"/>
      <c r="M34" s="108"/>
      <c r="N34" s="254" t="s">
        <v>136</v>
      </c>
      <c r="O34" s="254" t="s">
        <v>136</v>
      </c>
      <c r="P34" s="272" t="s">
        <v>136</v>
      </c>
      <c r="Q34" s="272" t="s">
        <v>136</v>
      </c>
      <c r="R34" s="315"/>
      <c r="S34" s="307"/>
      <c r="T34" s="275"/>
      <c r="U34" s="244"/>
      <c r="V34" s="244"/>
      <c r="W34" s="244"/>
      <c r="X34" s="244"/>
      <c r="Y34" s="244"/>
      <c r="Z34" s="244"/>
      <c r="AA34" s="255"/>
    </row>
    <row r="35" spans="2:29" ht="23.1" hidden="1" customHeight="1">
      <c r="B35" s="2"/>
      <c r="C35" s="673">
        <v>15</v>
      </c>
      <c r="D35" s="698"/>
      <c r="E35" s="695"/>
      <c r="F35" s="619"/>
      <c r="G35" s="228" t="s">
        <v>86</v>
      </c>
      <c r="H35" s="229"/>
      <c r="I35" s="229"/>
      <c r="J35" s="230"/>
      <c r="K35" s="35"/>
      <c r="L35" s="35"/>
      <c r="M35" s="108"/>
      <c r="N35" s="244" t="s">
        <v>136</v>
      </c>
      <c r="O35" s="244" t="s">
        <v>136</v>
      </c>
      <c r="P35" s="245" t="s">
        <v>136</v>
      </c>
      <c r="Q35" s="245" t="s">
        <v>136</v>
      </c>
      <c r="R35" s="315" t="s">
        <v>136</v>
      </c>
      <c r="S35" s="307" t="s">
        <v>136</v>
      </c>
      <c r="T35" s="247" t="s">
        <v>160</v>
      </c>
      <c r="U35" s="244" t="s">
        <v>136</v>
      </c>
      <c r="V35" s="244" t="s">
        <v>136</v>
      </c>
      <c r="W35" s="244" t="s">
        <v>136</v>
      </c>
      <c r="X35" s="244" t="s">
        <v>136</v>
      </c>
      <c r="Y35" s="244" t="s">
        <v>136</v>
      </c>
      <c r="Z35" s="244" t="s">
        <v>136</v>
      </c>
      <c r="AA35" s="248">
        <f>SUM(T35:Z35)</f>
        <v>0</v>
      </c>
    </row>
    <row r="36" spans="2:29" ht="23.1" hidden="1" customHeight="1">
      <c r="B36" s="2"/>
      <c r="C36" s="674"/>
      <c r="D36" s="698"/>
      <c r="E36" s="696"/>
      <c r="F36" s="697"/>
      <c r="G36" s="168" t="s">
        <v>99</v>
      </c>
      <c r="H36" s="229"/>
      <c r="I36" s="229"/>
      <c r="J36" s="230"/>
      <c r="K36" s="35"/>
      <c r="L36" s="35"/>
      <c r="M36" s="108"/>
      <c r="N36" s="254" t="s">
        <v>136</v>
      </c>
      <c r="O36" s="254" t="s">
        <v>136</v>
      </c>
      <c r="P36" s="272" t="s">
        <v>136</v>
      </c>
      <c r="Q36" s="272" t="s">
        <v>136</v>
      </c>
      <c r="R36" s="318"/>
      <c r="S36" s="319"/>
      <c r="T36" s="275"/>
      <c r="U36" s="244"/>
      <c r="V36" s="244"/>
      <c r="W36" s="244"/>
      <c r="X36" s="244"/>
      <c r="Y36" s="244"/>
      <c r="Z36" s="244"/>
      <c r="AA36" s="255">
        <f>SUM(T36:Z36)</f>
        <v>0</v>
      </c>
    </row>
    <row r="37" spans="2:29" ht="24.95" customHeight="1">
      <c r="B37" s="2"/>
      <c r="C37" s="704" t="s">
        <v>122</v>
      </c>
      <c r="D37" s="705"/>
      <c r="E37" s="705"/>
      <c r="F37" s="706"/>
      <c r="G37" s="227" t="s">
        <v>86</v>
      </c>
      <c r="H37" s="12">
        <f>SUMIF(G5:G26,"計画",H5:H26)</f>
        <v>0</v>
      </c>
      <c r="I37" s="12">
        <f>SUMIF(G5:G26,"計画",I5:I26)</f>
        <v>300</v>
      </c>
      <c r="J37" s="12">
        <f>SUMIF(G5:G26,"計画",J5:J26)</f>
        <v>300</v>
      </c>
      <c r="K37" s="12">
        <f ca="1">SUMIF(G5:J26,"計画",K5:K26)</f>
        <v>300</v>
      </c>
      <c r="L37" s="12">
        <f>SUMIF(G5:G26,"計画",L5:L26)</f>
        <v>300</v>
      </c>
      <c r="M37" s="76">
        <f ca="1">SUM(H37:L37)</f>
        <v>1200</v>
      </c>
      <c r="N37" s="279">
        <f ca="1">SUMIF(G5:M36,"計画",N5:N36)</f>
        <v>650</v>
      </c>
      <c r="O37" s="279">
        <f>SUMIF(G5:G26,"計画",O5:O26)</f>
        <v>760</v>
      </c>
      <c r="P37" s="280">
        <f>SUMIF(G5:G26,"計画",P5:P26)</f>
        <v>950</v>
      </c>
      <c r="Q37" s="281">
        <f ca="1">SUMIF(G5:M36,"計画",Q5:Q26)</f>
        <v>1150</v>
      </c>
      <c r="R37" s="281">
        <f>SUMIF(G5:G26,"計画",R5:R26)</f>
        <v>845</v>
      </c>
      <c r="S37" s="281">
        <f>SUMIF(G5:G26,"計画",S5:S26)</f>
        <v>900</v>
      </c>
      <c r="T37" s="283">
        <f ca="1">SUM(N37:S37)</f>
        <v>5255</v>
      </c>
      <c r="U37" s="284">
        <f>SUMIF(G5:G36,"計画",U5:U36)</f>
        <v>1000</v>
      </c>
      <c r="V37" s="279">
        <f>SUMIF(G5:G36,"計画",V5:V36)</f>
        <v>800</v>
      </c>
      <c r="W37" s="279">
        <f>SUMIF(G5:G36,"計画",W5:W36)</f>
        <v>1180</v>
      </c>
      <c r="X37" s="279">
        <f>SUMIF(G5:G36,"計画",X5:X36)</f>
        <v>1290</v>
      </c>
      <c r="Y37" s="279">
        <f ca="1">SUMIF(G5:M36,"計画",Y5:Y36)</f>
        <v>1190</v>
      </c>
      <c r="Z37" s="280">
        <f ca="1">SUMIF(G5:M36,"計画",Z5:Z36)</f>
        <v>835</v>
      </c>
      <c r="AA37" s="283">
        <f ca="1">T38+SUM(U37:Z37)</f>
        <v>7836.5</v>
      </c>
    </row>
    <row r="38" spans="2:29" ht="24.95" customHeight="1">
      <c r="B38" s="2"/>
      <c r="C38" s="707"/>
      <c r="D38" s="708"/>
      <c r="E38" s="708"/>
      <c r="F38" s="709"/>
      <c r="G38" s="170" t="s">
        <v>87</v>
      </c>
      <c r="H38" s="10">
        <f>SUMIF(G5:G37,"実績",H5:H37)</f>
        <v>3</v>
      </c>
      <c r="I38" s="10">
        <f ca="1">SUMIF(G5:H37,"実績",I5:I37)</f>
        <v>74</v>
      </c>
      <c r="J38" s="10">
        <f ca="1">SUMIF(G5:I26,"実績",J5:J26)</f>
        <v>109</v>
      </c>
      <c r="K38" s="10">
        <f ca="1">SUMIF(G5:J26,"実績",K5:K26)</f>
        <v>150</v>
      </c>
      <c r="L38" s="10">
        <f ca="1">SUMIF(G5:K26,"実績",L5:L26)</f>
        <v>446</v>
      </c>
      <c r="M38" s="155">
        <f ca="1">SUM(H38:L38)</f>
        <v>782</v>
      </c>
      <c r="N38" s="285">
        <f>SUMIF(G5:G26,"実績",N5:N26)</f>
        <v>194</v>
      </c>
      <c r="O38" s="285">
        <f ca="1">SUMIF(G5:H26,"実績",O5:O26)</f>
        <v>280</v>
      </c>
      <c r="P38" s="286">
        <f ca="1">SUMIF(G5:H36,"実績",P5:P26)</f>
        <v>461</v>
      </c>
      <c r="Q38" s="287">
        <f ca="1">SUMIF(G5:J36,"実績",Q5:Q36)</f>
        <v>162</v>
      </c>
      <c r="R38" s="285">
        <f ca="1">SUMIF(G5:K36,"実績",R5:R26)</f>
        <v>274</v>
      </c>
      <c r="S38" s="288">
        <f ca="1">SUMIF(G5:L36,"実績",S5:S26)</f>
        <v>170.5</v>
      </c>
      <c r="T38" s="289">
        <f ca="1">SUM(N38:S38)</f>
        <v>1541.5</v>
      </c>
      <c r="U38" s="285">
        <f ca="1">SUMIF(G5:M36,"実績",U5:U36)</f>
        <v>160</v>
      </c>
      <c r="V38" s="285">
        <f ca="1">SUMIF(G5:M36,"実績",V5:V36)</f>
        <v>50</v>
      </c>
      <c r="W38" s="285">
        <f ca="1">SUMIF(G5:M36,"実績",W5:W36)</f>
        <v>0</v>
      </c>
      <c r="X38" s="285">
        <f ca="1">SUMIF(G5:M36,"実績",X5:X36)</f>
        <v>0</v>
      </c>
      <c r="Y38" s="285">
        <f ca="1">SUMIF(G5:M36,"実績",Y5:Y36)</f>
        <v>0</v>
      </c>
      <c r="Z38" s="285">
        <f ca="1">SUMIF(G5:M36,"実績",Z5:Z36)</f>
        <v>0</v>
      </c>
      <c r="AA38" s="289"/>
    </row>
    <row r="39" spans="2:29" ht="24.95" customHeight="1">
      <c r="B39" s="2"/>
      <c r="C39" s="645" t="s">
        <v>123</v>
      </c>
      <c r="D39" s="646"/>
      <c r="E39" s="646"/>
      <c r="F39" s="647"/>
      <c r="G39" s="12" t="s">
        <v>124</v>
      </c>
      <c r="H39" s="12"/>
      <c r="I39" s="12"/>
      <c r="J39" s="12"/>
      <c r="K39" s="12"/>
      <c r="L39" s="12"/>
      <c r="M39" s="143"/>
      <c r="N39" s="290">
        <f ca="1">N37</f>
        <v>650</v>
      </c>
      <c r="O39" s="284">
        <f t="shared" ref="O39:S40" ca="1" si="20">N39+O37</f>
        <v>1410</v>
      </c>
      <c r="P39" s="280">
        <f t="shared" ca="1" si="20"/>
        <v>2360</v>
      </c>
      <c r="Q39" s="281">
        <f t="shared" ca="1" si="20"/>
        <v>3510</v>
      </c>
      <c r="R39" s="284">
        <f t="shared" ca="1" si="20"/>
        <v>4355</v>
      </c>
      <c r="S39" s="284">
        <f t="shared" ca="1" si="20"/>
        <v>5255</v>
      </c>
      <c r="T39" s="283">
        <f ca="1">S39</f>
        <v>5255</v>
      </c>
      <c r="U39" s="291">
        <f ca="1">S39+U37</f>
        <v>6255</v>
      </c>
      <c r="V39" s="292">
        <f t="shared" ref="V39:Z40" ca="1" si="21">U39+V37</f>
        <v>7055</v>
      </c>
      <c r="W39" s="292">
        <f t="shared" ca="1" si="21"/>
        <v>8235</v>
      </c>
      <c r="X39" s="292">
        <f t="shared" ca="1" si="21"/>
        <v>9525</v>
      </c>
      <c r="Y39" s="292">
        <f t="shared" ca="1" si="21"/>
        <v>10715</v>
      </c>
      <c r="Z39" s="293">
        <f t="shared" ca="1" si="21"/>
        <v>11550</v>
      </c>
      <c r="AA39" s="294">
        <f ca="1">Z39</f>
        <v>11550</v>
      </c>
      <c r="AC39" s="1" t="s">
        <v>161</v>
      </c>
    </row>
    <row r="40" spans="2:29" ht="24.95" customHeight="1" thickBot="1">
      <c r="B40" s="2"/>
      <c r="C40" s="651"/>
      <c r="D40" s="652"/>
      <c r="E40" s="652"/>
      <c r="F40" s="653"/>
      <c r="G40" s="171" t="s">
        <v>99</v>
      </c>
      <c r="H40" s="160"/>
      <c r="I40" s="160"/>
      <c r="J40" s="160"/>
      <c r="K40" s="160"/>
      <c r="L40" s="160"/>
      <c r="M40" s="160"/>
      <c r="N40" s="295">
        <f>N38</f>
        <v>194</v>
      </c>
      <c r="O40" s="296">
        <f ca="1">N40+O38</f>
        <v>474</v>
      </c>
      <c r="P40" s="297">
        <f ca="1">O40+P38</f>
        <v>935</v>
      </c>
      <c r="Q40" s="298">
        <f ca="1">P40+Q38</f>
        <v>1097</v>
      </c>
      <c r="R40" s="296">
        <f t="shared" ca="1" si="20"/>
        <v>1371</v>
      </c>
      <c r="S40" s="299">
        <f ca="1">R40+S38</f>
        <v>1541.5</v>
      </c>
      <c r="T40" s="300">
        <f ca="1">S40</f>
        <v>1541.5</v>
      </c>
      <c r="U40" s="301">
        <f ca="1">T40+U38</f>
        <v>1701.5</v>
      </c>
      <c r="V40" s="301">
        <f t="shared" ca="1" si="21"/>
        <v>1751.5</v>
      </c>
      <c r="W40" s="301">
        <f t="shared" ca="1" si="21"/>
        <v>1751.5</v>
      </c>
      <c r="X40" s="301">
        <f t="shared" ca="1" si="21"/>
        <v>1751.5</v>
      </c>
      <c r="Y40" s="301">
        <f t="shared" ca="1" si="21"/>
        <v>1751.5</v>
      </c>
      <c r="Z40" s="301">
        <f t="shared" ca="1" si="21"/>
        <v>1751.5</v>
      </c>
      <c r="AA40" s="302"/>
    </row>
    <row r="41" spans="2:29" ht="22.5" customHeight="1">
      <c r="B41" s="2"/>
      <c r="T41" s="233"/>
      <c r="AA41" s="233"/>
    </row>
    <row r="42" spans="2:29" ht="22.5" customHeight="1">
      <c r="B42" s="2"/>
      <c r="H42" s="594"/>
      <c r="I42" s="594"/>
      <c r="J42" s="594"/>
      <c r="K42" s="595"/>
      <c r="L42" s="595"/>
      <c r="M42" s="595"/>
      <c r="T42" s="231"/>
      <c r="V42" s="687" t="s">
        <v>86</v>
      </c>
      <c r="W42" s="687"/>
      <c r="X42" s="687"/>
      <c r="Y42" s="703" t="s">
        <v>99</v>
      </c>
      <c r="Z42" s="703"/>
      <c r="AA42" s="703"/>
    </row>
    <row r="43" spans="2:29" ht="22.5" customHeight="1">
      <c r="B43" s="2"/>
      <c r="D43" s="590"/>
      <c r="E43" s="591"/>
      <c r="F43" s="591"/>
      <c r="G43" s="592"/>
      <c r="H43" s="587"/>
      <c r="I43" s="588"/>
      <c r="J43" s="589"/>
      <c r="K43" s="587"/>
      <c r="L43" s="588"/>
      <c r="M43" s="589"/>
      <c r="O43" s="702" t="s">
        <v>103</v>
      </c>
      <c r="P43" s="702"/>
      <c r="Q43" s="702"/>
      <c r="R43" s="702"/>
      <c r="S43" s="702"/>
      <c r="T43" s="702"/>
      <c r="U43" s="702"/>
      <c r="V43" s="699">
        <f ca="1">SUM(AA37)</f>
        <v>7836.5</v>
      </c>
      <c r="W43" s="700"/>
      <c r="X43" s="701"/>
      <c r="Y43" s="699">
        <f>AA40</f>
        <v>0</v>
      </c>
      <c r="Z43" s="700"/>
      <c r="AA43" s="701"/>
    </row>
    <row r="44" spans="2:29" ht="22.5" customHeight="1">
      <c r="D44" s="590"/>
      <c r="E44" s="591"/>
      <c r="F44" s="591"/>
      <c r="G44" s="592"/>
      <c r="H44" s="587"/>
      <c r="I44" s="588"/>
      <c r="J44" s="589"/>
      <c r="K44" s="587"/>
      <c r="L44" s="588"/>
      <c r="M44" s="589"/>
      <c r="O44" s="702" t="s">
        <v>35</v>
      </c>
      <c r="P44" s="702"/>
      <c r="Q44" s="702"/>
      <c r="R44" s="702"/>
      <c r="S44" s="702"/>
      <c r="T44" s="702"/>
      <c r="U44" s="702"/>
      <c r="V44" s="699">
        <f ca="1">V43*1800</f>
        <v>14105700</v>
      </c>
      <c r="W44" s="700"/>
      <c r="X44" s="701"/>
      <c r="Y44" s="699">
        <f>Y43*1800</f>
        <v>0</v>
      </c>
      <c r="Z44" s="700"/>
      <c r="AA44" s="701"/>
    </row>
    <row r="45" spans="2:29">
      <c r="D45" s="590"/>
      <c r="E45" s="591"/>
      <c r="F45" s="591"/>
      <c r="G45" s="592"/>
      <c r="H45" s="587"/>
      <c r="I45" s="588"/>
      <c r="J45" s="589"/>
      <c r="K45" s="587"/>
      <c r="L45" s="588"/>
      <c r="M45" s="589"/>
      <c r="O45" s="702" t="s">
        <v>36</v>
      </c>
      <c r="P45" s="702"/>
      <c r="Q45" s="702"/>
      <c r="R45" s="702"/>
      <c r="S45" s="702"/>
      <c r="T45" s="702"/>
      <c r="U45" s="702"/>
      <c r="V45" s="699">
        <v>165</v>
      </c>
      <c r="W45" s="700"/>
      <c r="X45" s="701"/>
      <c r="Y45" s="699">
        <v>165</v>
      </c>
      <c r="Z45" s="700"/>
      <c r="AA45" s="701"/>
    </row>
    <row r="46" spans="2:29">
      <c r="D46" s="590"/>
      <c r="E46" s="591"/>
      <c r="F46" s="591"/>
      <c r="G46" s="592"/>
      <c r="H46" s="587"/>
      <c r="I46" s="588"/>
      <c r="J46" s="589"/>
      <c r="K46" s="587"/>
      <c r="L46" s="588"/>
      <c r="M46" s="589"/>
      <c r="O46" s="702" t="s">
        <v>37</v>
      </c>
      <c r="P46" s="702"/>
      <c r="Q46" s="702"/>
      <c r="R46" s="702"/>
      <c r="S46" s="702"/>
      <c r="T46" s="702"/>
      <c r="U46" s="702"/>
      <c r="V46" s="699">
        <f ca="1">V44*V45</f>
        <v>2327440500</v>
      </c>
      <c r="W46" s="700"/>
      <c r="X46" s="701"/>
      <c r="Y46" s="699">
        <f>Y44*Y45</f>
        <v>0</v>
      </c>
      <c r="Z46" s="700"/>
      <c r="AA46" s="701"/>
    </row>
    <row r="47" spans="2:29" ht="19.149999999999999" customHeight="1">
      <c r="C47" s="139"/>
      <c r="D47" s="191"/>
      <c r="E47" s="139"/>
      <c r="F47" s="139"/>
      <c r="G47" s="139"/>
      <c r="H47" s="139"/>
      <c r="I47" s="139"/>
      <c r="J47" s="139"/>
      <c r="K47" s="139"/>
      <c r="L47" s="139"/>
      <c r="M47" s="139"/>
      <c r="N47" s="233"/>
      <c r="O47" s="233"/>
      <c r="P47" s="233"/>
      <c r="Q47" s="233"/>
      <c r="R47" s="303"/>
      <c r="S47" s="233"/>
      <c r="T47" s="233"/>
      <c r="U47" s="233"/>
      <c r="V47" s="233"/>
      <c r="W47" s="233"/>
      <c r="X47" s="233"/>
      <c r="Y47" s="233"/>
      <c r="Z47" s="233"/>
      <c r="AA47" s="233"/>
    </row>
    <row r="48" spans="2:29">
      <c r="C48" s="139"/>
      <c r="D48" s="191"/>
      <c r="E48" s="139"/>
      <c r="F48" s="139"/>
      <c r="G48" s="139"/>
      <c r="H48" s="139"/>
      <c r="I48" s="139"/>
      <c r="J48" s="139"/>
      <c r="K48" s="139"/>
      <c r="L48" s="139"/>
      <c r="M48" s="139"/>
      <c r="N48" s="233"/>
      <c r="O48" s="233"/>
      <c r="P48" s="233"/>
      <c r="Q48" s="233"/>
      <c r="R48" s="303"/>
      <c r="S48" s="233"/>
      <c r="T48" s="233"/>
      <c r="U48" s="233"/>
      <c r="V48" s="233"/>
      <c r="W48" s="233"/>
      <c r="X48" s="233"/>
      <c r="Y48" s="233"/>
      <c r="Z48" s="233"/>
      <c r="AA48" s="233"/>
    </row>
    <row r="49" spans="3:27">
      <c r="C49" s="139"/>
      <c r="D49" s="191"/>
      <c r="E49" s="139"/>
      <c r="F49" s="139"/>
      <c r="G49" s="139"/>
      <c r="H49" s="139"/>
      <c r="I49" s="139"/>
      <c r="J49" s="139"/>
      <c r="K49" s="139"/>
      <c r="L49" s="139"/>
      <c r="M49" s="139"/>
      <c r="N49" s="233"/>
      <c r="O49" s="233"/>
      <c r="P49" s="233"/>
      <c r="Q49" s="233"/>
      <c r="R49" s="303"/>
      <c r="S49" s="233"/>
      <c r="T49" s="233"/>
      <c r="U49" s="233"/>
      <c r="V49" s="233"/>
      <c r="W49" s="233"/>
      <c r="X49" s="233"/>
      <c r="Y49" s="233"/>
      <c r="Z49" s="233"/>
      <c r="AA49" s="233"/>
    </row>
    <row r="50" spans="3:27">
      <c r="C50" s="139"/>
      <c r="D50" s="191"/>
      <c r="E50" s="139"/>
      <c r="F50" s="139"/>
      <c r="G50" s="139"/>
      <c r="H50" s="139"/>
      <c r="I50" s="139"/>
      <c r="J50" s="139"/>
      <c r="K50" s="139"/>
      <c r="L50" s="139"/>
      <c r="M50" s="139"/>
      <c r="N50" s="233"/>
      <c r="O50" s="233"/>
      <c r="P50" s="233"/>
      <c r="Q50" s="233"/>
      <c r="R50" s="303"/>
      <c r="S50" s="233"/>
      <c r="T50" s="233"/>
      <c r="U50" s="233"/>
      <c r="V50" s="233"/>
      <c r="W50" s="233"/>
      <c r="X50" s="233"/>
      <c r="Y50" s="233"/>
      <c r="Z50" s="233"/>
      <c r="AA50" s="233"/>
    </row>
    <row r="51" spans="3:27" s="139" customFormat="1">
      <c r="D51" s="191"/>
      <c r="N51" s="233"/>
      <c r="O51" s="233"/>
      <c r="P51" s="233"/>
      <c r="Q51" s="233"/>
      <c r="R51" s="303"/>
      <c r="S51" s="233"/>
      <c r="T51" s="233"/>
      <c r="U51" s="233"/>
      <c r="V51" s="233"/>
      <c r="W51" s="233"/>
      <c r="X51" s="233"/>
      <c r="Y51" s="233"/>
      <c r="Z51" s="233"/>
      <c r="AA51" s="233"/>
    </row>
    <row r="52" spans="3:27" s="139" customFormat="1">
      <c r="D52" s="191"/>
      <c r="N52" s="233"/>
      <c r="O52" s="233"/>
      <c r="P52" s="233"/>
      <c r="Q52" s="233"/>
      <c r="R52" s="303"/>
      <c r="S52" s="233"/>
      <c r="T52" s="233"/>
      <c r="U52" s="233"/>
      <c r="V52" s="233"/>
      <c r="W52" s="233"/>
      <c r="X52" s="233"/>
      <c r="Y52" s="233"/>
      <c r="Z52" s="233"/>
      <c r="AA52" s="233"/>
    </row>
    <row r="53" spans="3:27" s="139" customFormat="1">
      <c r="D53" s="191"/>
      <c r="N53" s="233"/>
      <c r="O53" s="233"/>
      <c r="P53" s="233"/>
      <c r="Q53" s="233"/>
      <c r="R53" s="303"/>
      <c r="S53" s="233"/>
      <c r="T53" s="233"/>
      <c r="U53" s="233"/>
      <c r="V53" s="233"/>
      <c r="W53" s="233"/>
      <c r="X53" s="233"/>
      <c r="Y53" s="233"/>
      <c r="Z53" s="233"/>
      <c r="AA53" s="233"/>
    </row>
    <row r="54" spans="3:27" s="139" customFormat="1">
      <c r="D54" s="191"/>
      <c r="N54" s="233"/>
      <c r="O54" s="233"/>
      <c r="P54" s="233"/>
      <c r="Q54" s="233"/>
      <c r="R54" s="303"/>
      <c r="S54" s="233"/>
      <c r="T54" s="233"/>
      <c r="U54" s="233"/>
      <c r="V54" s="233"/>
      <c r="W54" s="233"/>
      <c r="X54" s="233"/>
      <c r="Y54" s="233"/>
      <c r="Z54" s="233"/>
      <c r="AA54" s="233"/>
    </row>
    <row r="55" spans="3:27" s="139" customFormat="1">
      <c r="D55" s="191"/>
      <c r="N55" s="233"/>
      <c r="O55" s="233"/>
      <c r="P55" s="233"/>
      <c r="Q55" s="233"/>
      <c r="R55" s="303"/>
      <c r="S55" s="233"/>
      <c r="T55" s="233"/>
      <c r="U55" s="233"/>
      <c r="V55" s="233"/>
      <c r="W55" s="233"/>
      <c r="X55" s="233"/>
      <c r="Y55" s="233"/>
      <c r="Z55" s="233"/>
      <c r="AA55" s="233"/>
    </row>
    <row r="56" spans="3:27" s="139" customFormat="1">
      <c r="D56" s="191"/>
      <c r="N56" s="233"/>
      <c r="O56" s="233"/>
      <c r="P56" s="233"/>
      <c r="Q56" s="233"/>
      <c r="R56" s="303"/>
      <c r="S56" s="233"/>
      <c r="T56" s="233"/>
      <c r="U56" s="233"/>
      <c r="V56" s="233"/>
      <c r="W56" s="233"/>
      <c r="X56" s="233"/>
      <c r="Y56" s="233"/>
      <c r="Z56" s="233"/>
      <c r="AA56" s="233"/>
    </row>
    <row r="57" spans="3:27" s="139" customFormat="1">
      <c r="D57" s="191"/>
      <c r="N57" s="233"/>
      <c r="O57" s="233"/>
      <c r="P57" s="233"/>
      <c r="Q57" s="233"/>
      <c r="R57" s="303"/>
      <c r="S57" s="233"/>
      <c r="T57" s="233"/>
      <c r="U57" s="233"/>
      <c r="V57" s="233"/>
      <c r="W57" s="233"/>
      <c r="X57" s="233"/>
      <c r="Y57" s="233"/>
      <c r="Z57" s="233"/>
      <c r="AA57" s="233"/>
    </row>
    <row r="58" spans="3:27" s="139" customFormat="1">
      <c r="D58" s="191"/>
      <c r="N58" s="233"/>
      <c r="O58" s="233"/>
      <c r="P58" s="233"/>
      <c r="Q58" s="233"/>
      <c r="R58" s="303"/>
      <c r="S58" s="233"/>
      <c r="T58" s="233"/>
      <c r="U58" s="233"/>
      <c r="V58" s="233"/>
      <c r="W58" s="233"/>
      <c r="X58" s="233"/>
      <c r="Y58" s="233"/>
      <c r="Z58" s="233"/>
      <c r="AA58" s="233"/>
    </row>
    <row r="59" spans="3:27" s="139" customFormat="1">
      <c r="D59" s="191"/>
      <c r="N59" s="233"/>
      <c r="O59" s="233"/>
      <c r="P59" s="233"/>
      <c r="Q59" s="233"/>
      <c r="R59" s="303"/>
      <c r="S59" s="233"/>
      <c r="T59" s="233"/>
      <c r="U59" s="233"/>
      <c r="V59" s="233"/>
      <c r="W59" s="233"/>
      <c r="X59" s="233"/>
      <c r="Y59" s="233"/>
      <c r="Z59" s="233"/>
      <c r="AA59" s="233"/>
    </row>
    <row r="60" spans="3:27" s="139" customFormat="1">
      <c r="D60" s="191"/>
      <c r="N60" s="233"/>
      <c r="O60" s="233"/>
      <c r="P60" s="233"/>
      <c r="Q60" s="233"/>
      <c r="R60" s="303"/>
      <c r="S60" s="233"/>
      <c r="T60" s="233"/>
      <c r="U60" s="233"/>
      <c r="V60" s="233"/>
      <c r="W60" s="233"/>
      <c r="X60" s="233"/>
      <c r="Y60" s="233"/>
      <c r="Z60" s="233"/>
      <c r="AA60" s="233"/>
    </row>
    <row r="61" spans="3:27" s="139" customFormat="1">
      <c r="D61" s="191"/>
      <c r="N61" s="233"/>
      <c r="O61" s="233"/>
      <c r="P61" s="233"/>
      <c r="Q61" s="233"/>
      <c r="R61" s="303"/>
      <c r="S61" s="233"/>
      <c r="T61" s="233"/>
      <c r="U61" s="233"/>
      <c r="V61" s="233"/>
      <c r="W61" s="233"/>
      <c r="X61" s="233"/>
      <c r="Y61" s="233"/>
      <c r="Z61" s="233"/>
      <c r="AA61" s="233"/>
    </row>
    <row r="62" spans="3:27" s="139" customFormat="1">
      <c r="D62" s="191"/>
      <c r="N62" s="233"/>
      <c r="O62" s="233"/>
      <c r="P62" s="233"/>
      <c r="Q62" s="233"/>
      <c r="R62" s="303"/>
      <c r="S62" s="233"/>
      <c r="T62" s="233"/>
      <c r="U62" s="233"/>
      <c r="V62" s="233"/>
      <c r="W62" s="233"/>
      <c r="X62" s="233"/>
      <c r="Y62" s="233"/>
      <c r="Z62" s="233"/>
      <c r="AA62" s="233"/>
    </row>
    <row r="63" spans="3:27" s="139" customFormat="1">
      <c r="D63" s="191"/>
      <c r="N63" s="233"/>
      <c r="O63" s="233"/>
      <c r="P63" s="233"/>
      <c r="Q63" s="233"/>
      <c r="R63" s="303"/>
      <c r="S63" s="233"/>
      <c r="T63" s="233"/>
      <c r="U63" s="233"/>
      <c r="V63" s="233"/>
      <c r="W63" s="233"/>
      <c r="X63" s="233"/>
      <c r="Y63" s="233"/>
      <c r="Z63" s="233"/>
      <c r="AA63" s="233"/>
    </row>
    <row r="64" spans="3:27" s="139" customFormat="1">
      <c r="D64" s="191"/>
      <c r="N64" s="233"/>
      <c r="O64" s="233"/>
      <c r="P64" s="233"/>
      <c r="Q64" s="233"/>
      <c r="R64" s="303"/>
      <c r="S64" s="233"/>
      <c r="T64" s="233"/>
      <c r="U64" s="233"/>
      <c r="V64" s="233"/>
      <c r="W64" s="233"/>
      <c r="X64" s="233"/>
      <c r="Y64" s="233"/>
      <c r="Z64" s="233"/>
      <c r="AA64" s="233"/>
    </row>
    <row r="65" spans="4:27" s="139" customFormat="1">
      <c r="D65" s="191"/>
      <c r="N65" s="233"/>
      <c r="O65" s="233"/>
      <c r="P65" s="233"/>
      <c r="Q65" s="233"/>
      <c r="R65" s="303"/>
      <c r="S65" s="233"/>
      <c r="T65" s="233"/>
      <c r="U65" s="233"/>
      <c r="V65" s="233"/>
      <c r="W65" s="233"/>
      <c r="X65" s="233"/>
      <c r="Y65" s="233"/>
      <c r="Z65" s="233"/>
      <c r="AA65" s="233"/>
    </row>
    <row r="66" spans="4:27" s="139" customFormat="1">
      <c r="D66" s="191"/>
      <c r="N66" s="233"/>
      <c r="O66" s="233"/>
      <c r="P66" s="233"/>
      <c r="Q66" s="233"/>
      <c r="R66" s="303"/>
      <c r="S66" s="233"/>
      <c r="T66" s="233"/>
      <c r="U66" s="233"/>
      <c r="V66" s="233"/>
      <c r="W66" s="233"/>
      <c r="X66" s="233"/>
      <c r="Y66" s="233"/>
      <c r="Z66" s="233"/>
      <c r="AA66" s="233"/>
    </row>
    <row r="67" spans="4:27" s="139" customFormat="1">
      <c r="D67" s="191"/>
      <c r="N67" s="233"/>
      <c r="O67" s="233"/>
      <c r="P67" s="233"/>
      <c r="Q67" s="233"/>
      <c r="R67" s="303"/>
      <c r="S67" s="233"/>
      <c r="T67" s="233"/>
      <c r="U67" s="233"/>
      <c r="V67" s="233"/>
      <c r="W67" s="233"/>
      <c r="X67" s="233"/>
      <c r="Y67" s="233"/>
      <c r="Z67" s="233"/>
      <c r="AA67" s="233"/>
    </row>
    <row r="68" spans="4:27" s="139" customFormat="1">
      <c r="D68" s="191"/>
      <c r="N68" s="233"/>
      <c r="O68" s="233"/>
      <c r="P68" s="233"/>
      <c r="Q68" s="233"/>
      <c r="R68" s="303"/>
      <c r="S68" s="233"/>
      <c r="T68" s="233"/>
      <c r="U68" s="233"/>
      <c r="V68" s="233"/>
      <c r="W68" s="233"/>
      <c r="X68" s="233"/>
      <c r="Y68" s="233"/>
      <c r="Z68" s="233"/>
      <c r="AA68" s="233"/>
    </row>
    <row r="69" spans="4:27" s="139" customFormat="1">
      <c r="D69" s="191"/>
      <c r="N69" s="233"/>
      <c r="O69" s="233"/>
      <c r="P69" s="233"/>
      <c r="Q69" s="233"/>
      <c r="R69" s="303"/>
      <c r="S69" s="233"/>
      <c r="T69" s="233"/>
      <c r="U69" s="233"/>
      <c r="V69" s="233"/>
      <c r="W69" s="233"/>
      <c r="X69" s="233"/>
      <c r="Y69" s="233"/>
      <c r="Z69" s="233"/>
      <c r="AA69" s="233"/>
    </row>
    <row r="70" spans="4:27" s="139" customFormat="1">
      <c r="D70" s="191"/>
      <c r="N70" s="233"/>
      <c r="O70" s="233"/>
      <c r="P70" s="233"/>
      <c r="Q70" s="233"/>
      <c r="R70" s="303"/>
      <c r="S70" s="233"/>
      <c r="T70" s="233"/>
      <c r="U70" s="233"/>
      <c r="V70" s="233"/>
      <c r="W70" s="233"/>
      <c r="X70" s="233"/>
      <c r="Y70" s="233"/>
      <c r="Z70" s="233"/>
      <c r="AA70" s="233"/>
    </row>
    <row r="71" spans="4:27" s="139" customFormat="1">
      <c r="D71" s="191"/>
      <c r="N71" s="233"/>
      <c r="O71" s="233"/>
      <c r="P71" s="233"/>
      <c r="Q71" s="233"/>
      <c r="R71" s="303"/>
      <c r="S71" s="233"/>
      <c r="T71" s="233"/>
      <c r="U71" s="233"/>
      <c r="V71" s="233"/>
      <c r="W71" s="233"/>
      <c r="X71" s="233"/>
      <c r="Y71" s="233"/>
      <c r="Z71" s="233"/>
      <c r="AA71" s="233"/>
    </row>
    <row r="72" spans="4:27" s="139" customFormat="1">
      <c r="D72" s="191"/>
      <c r="N72" s="233"/>
      <c r="O72" s="233"/>
      <c r="P72" s="233"/>
      <c r="Q72" s="233"/>
      <c r="R72" s="303"/>
      <c r="S72" s="233"/>
      <c r="T72" s="233"/>
      <c r="U72" s="233"/>
      <c r="V72" s="233"/>
      <c r="W72" s="233"/>
      <c r="X72" s="233"/>
      <c r="Y72" s="233"/>
      <c r="Z72" s="233"/>
      <c r="AA72" s="233"/>
    </row>
    <row r="73" spans="4:27" s="139" customFormat="1">
      <c r="D73" s="191"/>
      <c r="N73" s="233"/>
      <c r="O73" s="233"/>
      <c r="P73" s="233"/>
      <c r="Q73" s="233"/>
      <c r="R73" s="303"/>
      <c r="S73" s="233"/>
      <c r="T73" s="233"/>
      <c r="U73" s="233"/>
      <c r="V73" s="233"/>
      <c r="W73" s="233"/>
      <c r="X73" s="233"/>
      <c r="Y73" s="233"/>
      <c r="Z73" s="233"/>
      <c r="AA73" s="233"/>
    </row>
    <row r="74" spans="4:27" s="139" customFormat="1">
      <c r="D74" s="191"/>
      <c r="N74" s="233"/>
      <c r="O74" s="233"/>
      <c r="P74" s="233"/>
      <c r="Q74" s="233"/>
      <c r="R74" s="303"/>
      <c r="S74" s="233"/>
      <c r="T74" s="233"/>
      <c r="U74" s="233"/>
      <c r="V74" s="233"/>
      <c r="W74" s="233"/>
      <c r="X74" s="233"/>
      <c r="Y74" s="233"/>
      <c r="Z74" s="233"/>
      <c r="AA74" s="233"/>
    </row>
    <row r="75" spans="4:27" s="139" customFormat="1">
      <c r="D75" s="191"/>
      <c r="N75" s="233"/>
      <c r="O75" s="233"/>
      <c r="P75" s="233"/>
      <c r="Q75" s="233"/>
      <c r="R75" s="303"/>
      <c r="S75" s="233"/>
      <c r="T75" s="233"/>
      <c r="U75" s="233"/>
      <c r="V75" s="233"/>
      <c r="W75" s="233"/>
      <c r="X75" s="233"/>
      <c r="Y75" s="233"/>
      <c r="Z75" s="233"/>
      <c r="AA75" s="233"/>
    </row>
    <row r="76" spans="4:27" s="139" customFormat="1">
      <c r="D76" s="191"/>
      <c r="N76" s="233"/>
      <c r="O76" s="233"/>
      <c r="P76" s="233"/>
      <c r="Q76" s="233"/>
      <c r="R76" s="303"/>
      <c r="S76" s="233"/>
      <c r="T76" s="233"/>
      <c r="U76" s="233"/>
      <c r="V76" s="233"/>
      <c r="W76" s="233"/>
      <c r="X76" s="233"/>
      <c r="Y76" s="233"/>
      <c r="Z76" s="233"/>
      <c r="AA76" s="233"/>
    </row>
    <row r="77" spans="4:27" s="139" customFormat="1">
      <c r="D77" s="191"/>
      <c r="N77" s="233"/>
      <c r="O77" s="233"/>
      <c r="P77" s="233"/>
      <c r="Q77" s="233"/>
      <c r="R77" s="303"/>
      <c r="S77" s="233"/>
      <c r="T77" s="233"/>
      <c r="U77" s="233"/>
      <c r="V77" s="233"/>
      <c r="W77" s="233"/>
      <c r="X77" s="233"/>
      <c r="Y77" s="233"/>
      <c r="Z77" s="233"/>
      <c r="AA77" s="233"/>
    </row>
    <row r="78" spans="4:27" s="139" customFormat="1">
      <c r="D78" s="191"/>
      <c r="N78" s="233"/>
      <c r="O78" s="233"/>
      <c r="P78" s="233"/>
      <c r="Q78" s="233"/>
      <c r="R78" s="303"/>
      <c r="S78" s="233"/>
      <c r="T78" s="233"/>
      <c r="U78" s="233"/>
      <c r="V78" s="233"/>
      <c r="W78" s="233"/>
      <c r="X78" s="233"/>
      <c r="Y78" s="233"/>
      <c r="Z78" s="233"/>
      <c r="AA78" s="233"/>
    </row>
    <row r="79" spans="4:27" s="139" customFormat="1">
      <c r="D79" s="191"/>
      <c r="N79" s="233"/>
      <c r="O79" s="233"/>
      <c r="P79" s="233"/>
      <c r="Q79" s="233"/>
      <c r="R79" s="303"/>
      <c r="S79" s="233"/>
      <c r="T79" s="233"/>
      <c r="U79" s="233"/>
      <c r="V79" s="233"/>
      <c r="W79" s="233"/>
      <c r="X79" s="233"/>
      <c r="Y79" s="233"/>
      <c r="Z79" s="233"/>
      <c r="AA79" s="233"/>
    </row>
    <row r="80" spans="4:27" s="139" customFormat="1">
      <c r="D80" s="191"/>
      <c r="N80" s="233"/>
      <c r="O80" s="233"/>
      <c r="P80" s="233"/>
      <c r="Q80" s="233"/>
      <c r="R80" s="303"/>
      <c r="S80" s="233"/>
      <c r="T80" s="233"/>
      <c r="U80" s="233"/>
      <c r="V80" s="233"/>
      <c r="W80" s="233"/>
      <c r="X80" s="233"/>
      <c r="Y80" s="233"/>
      <c r="Z80" s="233"/>
      <c r="AA80" s="233"/>
    </row>
    <row r="81" spans="4:27" s="139" customFormat="1">
      <c r="D81" s="191"/>
      <c r="N81" s="233"/>
      <c r="O81" s="233"/>
      <c r="P81" s="233"/>
      <c r="Q81" s="233"/>
      <c r="R81" s="303"/>
      <c r="S81" s="233"/>
      <c r="T81" s="233"/>
      <c r="U81" s="233"/>
      <c r="V81" s="233"/>
      <c r="W81" s="233"/>
      <c r="X81" s="233"/>
      <c r="Y81" s="233"/>
      <c r="Z81" s="233"/>
      <c r="AA81" s="233"/>
    </row>
    <row r="82" spans="4:27" s="139" customFormat="1">
      <c r="D82" s="191"/>
      <c r="N82" s="233"/>
      <c r="O82" s="233"/>
      <c r="P82" s="233"/>
      <c r="Q82" s="233"/>
      <c r="R82" s="303"/>
      <c r="S82" s="233"/>
      <c r="T82" s="233"/>
      <c r="U82" s="233"/>
      <c r="V82" s="233"/>
      <c r="W82" s="233"/>
      <c r="X82" s="233"/>
      <c r="Y82" s="233"/>
      <c r="Z82" s="233"/>
      <c r="AA82" s="233"/>
    </row>
    <row r="83" spans="4:27" s="139" customFormat="1">
      <c r="D83" s="191"/>
      <c r="N83" s="233"/>
      <c r="O83" s="233"/>
      <c r="P83" s="233"/>
      <c r="Q83" s="233"/>
      <c r="R83" s="303"/>
      <c r="S83" s="233"/>
      <c r="T83" s="233"/>
      <c r="U83" s="233"/>
      <c r="V83" s="233"/>
      <c r="W83" s="233"/>
      <c r="X83" s="233"/>
      <c r="Y83" s="233"/>
      <c r="Z83" s="233"/>
      <c r="AA83" s="233"/>
    </row>
    <row r="84" spans="4:27" s="139" customFormat="1">
      <c r="D84" s="191"/>
      <c r="N84" s="233"/>
      <c r="O84" s="233"/>
      <c r="P84" s="233"/>
      <c r="Q84" s="233"/>
      <c r="R84" s="303"/>
      <c r="S84" s="233"/>
      <c r="T84" s="233"/>
      <c r="U84" s="233"/>
      <c r="V84" s="233"/>
      <c r="W84" s="233"/>
      <c r="X84" s="233"/>
      <c r="Y84" s="233"/>
      <c r="Z84" s="233"/>
      <c r="AA84" s="233"/>
    </row>
    <row r="85" spans="4:27" s="139" customFormat="1">
      <c r="D85" s="191"/>
      <c r="N85" s="233"/>
      <c r="O85" s="233"/>
      <c r="P85" s="233"/>
      <c r="Q85" s="233"/>
      <c r="R85" s="303"/>
      <c r="S85" s="233"/>
      <c r="T85" s="233"/>
      <c r="U85" s="233"/>
      <c r="V85" s="233"/>
      <c r="W85" s="233"/>
      <c r="X85" s="233"/>
      <c r="Y85" s="233"/>
      <c r="Z85" s="233"/>
      <c r="AA85" s="233"/>
    </row>
    <row r="86" spans="4:27" s="139" customFormat="1">
      <c r="D86" s="191"/>
      <c r="N86" s="233"/>
      <c r="O86" s="233"/>
      <c r="P86" s="233"/>
      <c r="Q86" s="233"/>
      <c r="R86" s="303"/>
      <c r="S86" s="233"/>
      <c r="T86" s="233"/>
      <c r="U86" s="233"/>
      <c r="V86" s="233"/>
      <c r="W86" s="233"/>
      <c r="X86" s="233"/>
      <c r="Y86" s="233"/>
      <c r="Z86" s="233"/>
      <c r="AA86" s="233"/>
    </row>
    <row r="87" spans="4:27" s="139" customFormat="1">
      <c r="D87" s="191"/>
      <c r="N87" s="233"/>
      <c r="O87" s="233"/>
      <c r="P87" s="233"/>
      <c r="Q87" s="233"/>
      <c r="R87" s="303"/>
      <c r="S87" s="233"/>
      <c r="T87" s="233"/>
      <c r="U87" s="233"/>
      <c r="V87" s="233"/>
      <c r="W87" s="233"/>
      <c r="X87" s="233"/>
      <c r="Y87" s="233"/>
      <c r="Z87" s="233"/>
      <c r="AA87" s="233"/>
    </row>
    <row r="88" spans="4:27" s="139" customFormat="1">
      <c r="D88" s="191"/>
      <c r="N88" s="233"/>
      <c r="O88" s="233"/>
      <c r="P88" s="233"/>
      <c r="Q88" s="233"/>
      <c r="R88" s="303"/>
      <c r="S88" s="233"/>
      <c r="T88" s="233"/>
      <c r="U88" s="233"/>
      <c r="V88" s="233"/>
      <c r="W88" s="233"/>
      <c r="X88" s="233"/>
      <c r="Y88" s="233"/>
      <c r="Z88" s="233"/>
      <c r="AA88" s="233"/>
    </row>
    <row r="89" spans="4:27" s="139" customFormat="1">
      <c r="D89" s="191"/>
      <c r="N89" s="233"/>
      <c r="O89" s="233"/>
      <c r="P89" s="233"/>
      <c r="Q89" s="233"/>
      <c r="R89" s="303"/>
      <c r="S89" s="233"/>
      <c r="T89" s="233"/>
      <c r="U89" s="233"/>
      <c r="V89" s="233"/>
      <c r="W89" s="233"/>
      <c r="X89" s="233"/>
      <c r="Y89" s="233"/>
      <c r="Z89" s="233"/>
      <c r="AA89" s="233"/>
    </row>
    <row r="90" spans="4:27" s="139" customFormat="1">
      <c r="D90" s="191"/>
      <c r="N90" s="233"/>
      <c r="O90" s="233"/>
      <c r="P90" s="233"/>
      <c r="Q90" s="233"/>
      <c r="R90" s="303"/>
      <c r="S90" s="233"/>
      <c r="T90" s="233"/>
      <c r="U90" s="233"/>
      <c r="V90" s="233"/>
      <c r="W90" s="233"/>
      <c r="X90" s="233"/>
      <c r="Y90" s="233"/>
      <c r="Z90" s="233"/>
      <c r="AA90" s="233"/>
    </row>
    <row r="91" spans="4:27" s="139" customFormat="1">
      <c r="D91" s="191"/>
      <c r="N91" s="233"/>
      <c r="O91" s="233"/>
      <c r="P91" s="233"/>
      <c r="Q91" s="233"/>
      <c r="R91" s="303"/>
      <c r="S91" s="233"/>
      <c r="T91" s="233"/>
      <c r="U91" s="233"/>
      <c r="V91" s="233"/>
      <c r="W91" s="233"/>
      <c r="X91" s="233"/>
      <c r="Y91" s="233"/>
      <c r="Z91" s="233"/>
      <c r="AA91" s="233"/>
    </row>
    <row r="92" spans="4:27" s="139" customFormat="1">
      <c r="D92" s="191"/>
      <c r="N92" s="233"/>
      <c r="O92" s="233"/>
      <c r="P92" s="233"/>
      <c r="Q92" s="233"/>
      <c r="R92" s="303"/>
      <c r="S92" s="233"/>
      <c r="T92" s="233"/>
      <c r="U92" s="233"/>
      <c r="V92" s="233"/>
      <c r="W92" s="233"/>
      <c r="X92" s="233"/>
      <c r="Y92" s="233"/>
      <c r="Z92" s="233"/>
      <c r="AA92" s="233"/>
    </row>
    <row r="93" spans="4:27" s="139" customFormat="1">
      <c r="D93" s="191"/>
      <c r="N93" s="233"/>
      <c r="O93" s="233"/>
      <c r="P93" s="233"/>
      <c r="Q93" s="233"/>
      <c r="R93" s="303"/>
      <c r="S93" s="233"/>
      <c r="T93" s="233"/>
      <c r="U93" s="233"/>
      <c r="V93" s="233"/>
      <c r="W93" s="233"/>
      <c r="X93" s="233"/>
      <c r="Y93" s="233"/>
      <c r="Z93" s="233"/>
      <c r="AA93" s="233"/>
    </row>
    <row r="94" spans="4:27" s="139" customFormat="1">
      <c r="D94" s="191"/>
      <c r="N94" s="233"/>
      <c r="O94" s="233"/>
      <c r="P94" s="233"/>
      <c r="Q94" s="233"/>
      <c r="R94" s="303"/>
      <c r="S94" s="233"/>
      <c r="T94" s="233"/>
      <c r="U94" s="233"/>
      <c r="V94" s="233"/>
      <c r="W94" s="233"/>
      <c r="X94" s="233"/>
      <c r="Y94" s="233"/>
      <c r="Z94" s="233"/>
      <c r="AA94" s="233"/>
    </row>
    <row r="95" spans="4:27" s="139" customFormat="1">
      <c r="D95" s="191"/>
      <c r="N95" s="233"/>
      <c r="O95" s="233"/>
      <c r="P95" s="233"/>
      <c r="Q95" s="233"/>
      <c r="R95" s="303"/>
      <c r="S95" s="233"/>
      <c r="T95" s="233"/>
      <c r="U95" s="233"/>
      <c r="V95" s="233"/>
      <c r="W95" s="233"/>
      <c r="X95" s="233"/>
      <c r="Y95" s="233"/>
      <c r="Z95" s="233"/>
      <c r="AA95" s="233"/>
    </row>
    <row r="96" spans="4:27" s="139" customFormat="1">
      <c r="D96" s="191"/>
      <c r="N96" s="233"/>
      <c r="O96" s="233"/>
      <c r="P96" s="233"/>
      <c r="Q96" s="233"/>
      <c r="R96" s="303"/>
      <c r="S96" s="233"/>
      <c r="T96" s="233"/>
      <c r="U96" s="233"/>
      <c r="V96" s="233"/>
      <c r="W96" s="233"/>
      <c r="X96" s="233"/>
      <c r="Y96" s="233"/>
      <c r="Z96" s="233"/>
      <c r="AA96" s="233"/>
    </row>
    <row r="97" spans="4:27" s="139" customFormat="1">
      <c r="D97" s="191"/>
      <c r="N97" s="233"/>
      <c r="O97" s="233"/>
      <c r="P97" s="233"/>
      <c r="Q97" s="233"/>
      <c r="R97" s="303"/>
      <c r="S97" s="233"/>
      <c r="T97" s="233"/>
      <c r="U97" s="233"/>
      <c r="V97" s="233"/>
      <c r="W97" s="233"/>
      <c r="X97" s="233"/>
      <c r="Y97" s="233"/>
      <c r="Z97" s="233"/>
      <c r="AA97" s="233"/>
    </row>
    <row r="98" spans="4:27" s="139" customFormat="1">
      <c r="D98" s="191"/>
      <c r="N98" s="233"/>
      <c r="O98" s="233"/>
      <c r="P98" s="233"/>
      <c r="Q98" s="233"/>
      <c r="R98" s="303"/>
      <c r="S98" s="233"/>
      <c r="T98" s="233"/>
      <c r="U98" s="233"/>
      <c r="V98" s="233"/>
      <c r="W98" s="233"/>
      <c r="X98" s="233"/>
      <c r="Y98" s="233"/>
      <c r="Z98" s="233"/>
      <c r="AA98" s="233"/>
    </row>
    <row r="99" spans="4:27" s="139" customFormat="1">
      <c r="D99" s="191"/>
      <c r="N99" s="233"/>
      <c r="O99" s="233"/>
      <c r="P99" s="233"/>
      <c r="Q99" s="233"/>
      <c r="R99" s="303"/>
      <c r="S99" s="233"/>
      <c r="T99" s="233"/>
      <c r="U99" s="233"/>
      <c r="V99" s="233"/>
      <c r="W99" s="233"/>
      <c r="X99" s="233"/>
      <c r="Y99" s="233"/>
      <c r="Z99" s="233"/>
      <c r="AA99" s="233"/>
    </row>
    <row r="100" spans="4:27" s="139" customFormat="1">
      <c r="D100" s="191"/>
      <c r="N100" s="233"/>
      <c r="O100" s="233"/>
      <c r="P100" s="233"/>
      <c r="Q100" s="233"/>
      <c r="R100" s="303"/>
      <c r="S100" s="233"/>
      <c r="T100" s="233"/>
      <c r="U100" s="233"/>
      <c r="V100" s="233"/>
      <c r="W100" s="233"/>
      <c r="X100" s="233"/>
      <c r="Y100" s="233"/>
      <c r="Z100" s="233"/>
      <c r="AA100" s="233"/>
    </row>
    <row r="101" spans="4:27" s="139" customFormat="1">
      <c r="D101" s="191"/>
      <c r="N101" s="233"/>
      <c r="O101" s="233"/>
      <c r="P101" s="233"/>
      <c r="Q101" s="233"/>
      <c r="R101" s="303"/>
      <c r="S101" s="233"/>
      <c r="T101" s="233"/>
      <c r="U101" s="233"/>
      <c r="V101" s="233"/>
      <c r="W101" s="233"/>
      <c r="X101" s="233"/>
      <c r="Y101" s="233"/>
      <c r="Z101" s="233"/>
      <c r="AA101" s="233"/>
    </row>
    <row r="102" spans="4:27" s="139" customFormat="1">
      <c r="D102" s="191"/>
      <c r="N102" s="233"/>
      <c r="O102" s="233"/>
      <c r="P102" s="233"/>
      <c r="Q102" s="233"/>
      <c r="R102" s="303"/>
      <c r="S102" s="233"/>
      <c r="T102" s="233"/>
      <c r="U102" s="233"/>
      <c r="V102" s="233"/>
      <c r="W102" s="233"/>
      <c r="X102" s="233"/>
      <c r="Y102" s="233"/>
      <c r="Z102" s="233"/>
      <c r="AA102" s="233"/>
    </row>
    <row r="103" spans="4:27" s="139" customFormat="1">
      <c r="D103" s="191"/>
      <c r="N103" s="233"/>
      <c r="O103" s="233"/>
      <c r="P103" s="233"/>
      <c r="Q103" s="233"/>
      <c r="R103" s="303"/>
      <c r="S103" s="233"/>
      <c r="T103" s="233"/>
      <c r="U103" s="233"/>
      <c r="V103" s="233"/>
      <c r="W103" s="233"/>
      <c r="X103" s="233"/>
      <c r="Y103" s="233"/>
      <c r="Z103" s="233"/>
      <c r="AA103" s="233"/>
    </row>
    <row r="104" spans="4:27" s="139" customFormat="1">
      <c r="D104" s="191"/>
      <c r="N104" s="233"/>
      <c r="O104" s="233"/>
      <c r="P104" s="233"/>
      <c r="Q104" s="233"/>
      <c r="R104" s="303"/>
      <c r="S104" s="233"/>
      <c r="T104" s="233"/>
      <c r="U104" s="233"/>
      <c r="V104" s="233"/>
      <c r="W104" s="233"/>
      <c r="X104" s="233"/>
      <c r="Y104" s="233"/>
      <c r="Z104" s="233"/>
      <c r="AA104" s="233"/>
    </row>
    <row r="105" spans="4:27" s="139" customFormat="1">
      <c r="D105" s="191"/>
      <c r="N105" s="233"/>
      <c r="O105" s="233"/>
      <c r="P105" s="233"/>
      <c r="Q105" s="233"/>
      <c r="R105" s="303"/>
      <c r="S105" s="233"/>
      <c r="T105" s="233"/>
      <c r="U105" s="233"/>
      <c r="V105" s="233"/>
      <c r="W105" s="233"/>
      <c r="X105" s="233"/>
      <c r="Y105" s="233"/>
      <c r="Z105" s="233"/>
      <c r="AA105" s="233"/>
    </row>
    <row r="106" spans="4:27" s="139" customFormat="1">
      <c r="D106" s="191"/>
      <c r="N106" s="233"/>
      <c r="O106" s="233"/>
      <c r="P106" s="233"/>
      <c r="Q106" s="233"/>
      <c r="R106" s="303"/>
      <c r="S106" s="233"/>
      <c r="T106" s="233"/>
      <c r="U106" s="233"/>
      <c r="V106" s="233"/>
      <c r="W106" s="233"/>
      <c r="X106" s="233"/>
      <c r="Y106" s="233"/>
      <c r="Z106" s="233"/>
      <c r="AA106" s="233"/>
    </row>
    <row r="107" spans="4:27" s="139" customFormat="1">
      <c r="D107" s="191"/>
      <c r="N107" s="233"/>
      <c r="O107" s="233"/>
      <c r="P107" s="233"/>
      <c r="Q107" s="233"/>
      <c r="R107" s="303"/>
      <c r="S107" s="233"/>
      <c r="T107" s="233"/>
      <c r="U107" s="233"/>
      <c r="V107" s="233"/>
      <c r="W107" s="233"/>
      <c r="X107" s="233"/>
      <c r="Y107" s="233"/>
      <c r="Z107" s="233"/>
      <c r="AA107" s="233"/>
    </row>
    <row r="108" spans="4:27" s="139" customFormat="1">
      <c r="D108" s="191"/>
      <c r="N108" s="233"/>
      <c r="O108" s="233"/>
      <c r="P108" s="233"/>
      <c r="Q108" s="233"/>
      <c r="R108" s="303"/>
      <c r="S108" s="233"/>
      <c r="T108" s="233"/>
      <c r="U108" s="233"/>
      <c r="V108" s="233"/>
      <c r="W108" s="233"/>
      <c r="X108" s="233"/>
      <c r="Y108" s="233"/>
      <c r="Z108" s="233"/>
      <c r="AA108" s="233"/>
    </row>
    <row r="109" spans="4:27" s="139" customFormat="1">
      <c r="D109" s="191"/>
      <c r="N109" s="233"/>
      <c r="O109" s="233"/>
      <c r="P109" s="233"/>
      <c r="Q109" s="233"/>
      <c r="R109" s="303"/>
      <c r="S109" s="233"/>
      <c r="T109" s="233"/>
      <c r="U109" s="233"/>
      <c r="V109" s="233"/>
      <c r="W109" s="233"/>
      <c r="X109" s="233"/>
      <c r="Y109" s="233"/>
      <c r="Z109" s="233"/>
      <c r="AA109" s="233"/>
    </row>
    <row r="110" spans="4:27" s="139" customFormat="1">
      <c r="D110" s="191"/>
      <c r="N110" s="233"/>
      <c r="O110" s="233"/>
      <c r="P110" s="233"/>
      <c r="Q110" s="233"/>
      <c r="R110" s="303"/>
      <c r="S110" s="233"/>
      <c r="T110" s="233"/>
      <c r="U110" s="233"/>
      <c r="V110" s="233"/>
      <c r="W110" s="233"/>
      <c r="X110" s="233"/>
      <c r="Y110" s="233"/>
      <c r="Z110" s="233"/>
      <c r="AA110" s="233"/>
    </row>
    <row r="111" spans="4:27" s="139" customFormat="1">
      <c r="D111" s="191"/>
      <c r="N111" s="233"/>
      <c r="O111" s="233"/>
      <c r="P111" s="233"/>
      <c r="Q111" s="233"/>
      <c r="R111" s="303"/>
      <c r="S111" s="233"/>
      <c r="T111" s="233"/>
      <c r="U111" s="233"/>
      <c r="V111" s="233"/>
      <c r="W111" s="233"/>
      <c r="X111" s="233"/>
      <c r="Y111" s="233"/>
      <c r="Z111" s="233"/>
      <c r="AA111" s="233"/>
    </row>
    <row r="112" spans="4:27" s="139" customFormat="1">
      <c r="D112" s="191"/>
      <c r="N112" s="233"/>
      <c r="O112" s="233"/>
      <c r="P112" s="233"/>
      <c r="Q112" s="233"/>
      <c r="R112" s="303"/>
      <c r="S112" s="233"/>
      <c r="T112" s="233"/>
      <c r="U112" s="233"/>
      <c r="V112" s="233"/>
      <c r="W112" s="233"/>
      <c r="X112" s="233"/>
      <c r="Y112" s="233"/>
      <c r="Z112" s="233"/>
      <c r="AA112" s="233"/>
    </row>
    <row r="113" spans="4:27" s="139" customFormat="1">
      <c r="D113" s="191"/>
      <c r="N113" s="233"/>
      <c r="O113" s="233"/>
      <c r="P113" s="233"/>
      <c r="Q113" s="233"/>
      <c r="R113" s="303"/>
      <c r="S113" s="233"/>
      <c r="T113" s="233"/>
      <c r="U113" s="233"/>
      <c r="V113" s="233"/>
      <c r="W113" s="233"/>
      <c r="X113" s="233"/>
      <c r="Y113" s="233"/>
      <c r="Z113" s="233"/>
      <c r="AA113" s="233"/>
    </row>
    <row r="114" spans="4:27" s="139" customFormat="1">
      <c r="D114" s="191"/>
      <c r="N114" s="233"/>
      <c r="O114" s="233"/>
      <c r="P114" s="233"/>
      <c r="Q114" s="233"/>
      <c r="R114" s="303"/>
      <c r="S114" s="233"/>
      <c r="T114" s="233"/>
      <c r="U114" s="233"/>
      <c r="V114" s="233"/>
      <c r="W114" s="233"/>
      <c r="X114" s="233"/>
      <c r="Y114" s="233"/>
      <c r="Z114" s="233"/>
      <c r="AA114" s="233"/>
    </row>
    <row r="115" spans="4:27" s="139" customFormat="1">
      <c r="D115" s="191"/>
      <c r="N115" s="233"/>
      <c r="O115" s="233"/>
      <c r="P115" s="233"/>
      <c r="Q115" s="233"/>
      <c r="R115" s="303"/>
      <c r="S115" s="233"/>
      <c r="T115" s="233"/>
      <c r="U115" s="233"/>
      <c r="V115" s="233"/>
      <c r="W115" s="233"/>
      <c r="X115" s="233"/>
      <c r="Y115" s="233"/>
      <c r="Z115" s="233"/>
      <c r="AA115" s="233"/>
    </row>
    <row r="116" spans="4:27" s="139" customFormat="1">
      <c r="D116" s="191"/>
      <c r="N116" s="233"/>
      <c r="O116" s="233"/>
      <c r="P116" s="233"/>
      <c r="Q116" s="233"/>
      <c r="R116" s="303"/>
      <c r="S116" s="233"/>
      <c r="T116" s="233"/>
      <c r="U116" s="233"/>
      <c r="V116" s="233"/>
      <c r="W116" s="233"/>
      <c r="X116" s="233"/>
      <c r="Y116" s="233"/>
      <c r="Z116" s="233"/>
      <c r="AA116" s="233"/>
    </row>
    <row r="117" spans="4:27" s="139" customFormat="1">
      <c r="D117" s="191"/>
      <c r="N117" s="233"/>
      <c r="O117" s="233"/>
      <c r="P117" s="233"/>
      <c r="Q117" s="233"/>
      <c r="R117" s="303"/>
      <c r="S117" s="233"/>
      <c r="T117" s="233"/>
      <c r="U117" s="233"/>
      <c r="V117" s="233"/>
      <c r="W117" s="233"/>
      <c r="X117" s="233"/>
      <c r="Y117" s="233"/>
      <c r="Z117" s="233"/>
      <c r="AA117" s="233"/>
    </row>
    <row r="118" spans="4:27" s="139" customFormat="1">
      <c r="D118" s="191"/>
      <c r="N118" s="233"/>
      <c r="O118" s="233"/>
      <c r="P118" s="233"/>
      <c r="Q118" s="233"/>
      <c r="R118" s="303"/>
      <c r="S118" s="233"/>
      <c r="T118" s="233"/>
      <c r="U118" s="233"/>
      <c r="V118" s="233"/>
      <c r="W118" s="233"/>
      <c r="X118" s="233"/>
      <c r="Y118" s="233"/>
      <c r="Z118" s="233"/>
      <c r="AA118" s="233"/>
    </row>
    <row r="119" spans="4:27" s="139" customFormat="1">
      <c r="D119" s="191"/>
      <c r="N119" s="233"/>
      <c r="O119" s="233"/>
      <c r="P119" s="233"/>
      <c r="Q119" s="233"/>
      <c r="R119" s="303"/>
      <c r="S119" s="233"/>
      <c r="T119" s="233"/>
      <c r="U119" s="233"/>
      <c r="V119" s="233"/>
      <c r="W119" s="233"/>
      <c r="X119" s="233"/>
      <c r="Y119" s="233"/>
      <c r="Z119" s="233"/>
      <c r="AA119" s="233"/>
    </row>
    <row r="120" spans="4:27" s="139" customFormat="1">
      <c r="D120" s="191"/>
      <c r="N120" s="233"/>
      <c r="O120" s="233"/>
      <c r="P120" s="233"/>
      <c r="Q120" s="233"/>
      <c r="R120" s="303"/>
      <c r="S120" s="233"/>
      <c r="T120" s="233"/>
      <c r="U120" s="233"/>
      <c r="V120" s="233"/>
      <c r="W120" s="233"/>
      <c r="X120" s="233"/>
      <c r="Y120" s="233"/>
      <c r="Z120" s="233"/>
      <c r="AA120" s="233"/>
    </row>
    <row r="121" spans="4:27" s="139" customFormat="1">
      <c r="D121" s="191"/>
      <c r="N121" s="233"/>
      <c r="O121" s="233"/>
      <c r="P121" s="233"/>
      <c r="Q121" s="233"/>
      <c r="R121" s="303"/>
      <c r="S121" s="233"/>
      <c r="T121" s="233"/>
      <c r="U121" s="233"/>
      <c r="V121" s="233"/>
      <c r="W121" s="233"/>
      <c r="X121" s="233"/>
      <c r="Y121" s="233"/>
      <c r="Z121" s="233"/>
      <c r="AA121" s="233"/>
    </row>
    <row r="122" spans="4:27" s="139" customFormat="1">
      <c r="D122" s="191"/>
      <c r="N122" s="233"/>
      <c r="O122" s="233"/>
      <c r="P122" s="233"/>
      <c r="Q122" s="233"/>
      <c r="R122" s="303"/>
      <c r="S122" s="233"/>
      <c r="T122" s="233"/>
      <c r="U122" s="233"/>
      <c r="V122" s="233"/>
      <c r="W122" s="233"/>
      <c r="X122" s="233"/>
      <c r="Y122" s="233"/>
      <c r="Z122" s="233"/>
      <c r="AA122" s="233"/>
    </row>
    <row r="123" spans="4:27" s="139" customFormat="1">
      <c r="D123" s="191"/>
      <c r="N123" s="233"/>
      <c r="O123" s="233"/>
      <c r="P123" s="233"/>
      <c r="Q123" s="233"/>
      <c r="R123" s="303"/>
      <c r="S123" s="233"/>
      <c r="T123" s="233"/>
      <c r="U123" s="233"/>
      <c r="V123" s="233"/>
      <c r="W123" s="233"/>
      <c r="X123" s="233"/>
      <c r="Y123" s="233"/>
      <c r="Z123" s="233"/>
      <c r="AA123" s="233"/>
    </row>
    <row r="124" spans="4:27" s="139" customFormat="1">
      <c r="D124" s="191"/>
      <c r="N124" s="233"/>
      <c r="O124" s="233"/>
      <c r="P124" s="233"/>
      <c r="Q124" s="233"/>
      <c r="R124" s="303"/>
      <c r="S124" s="233"/>
      <c r="T124" s="233"/>
      <c r="U124" s="233"/>
      <c r="V124" s="233"/>
      <c r="W124" s="233"/>
      <c r="X124" s="233"/>
      <c r="Y124" s="233"/>
      <c r="Z124" s="233"/>
      <c r="AA124" s="233"/>
    </row>
    <row r="125" spans="4:27" s="139" customFormat="1">
      <c r="D125" s="191"/>
      <c r="N125" s="233"/>
      <c r="O125" s="233"/>
      <c r="P125" s="233"/>
      <c r="Q125" s="233"/>
      <c r="R125" s="303"/>
      <c r="S125" s="233"/>
      <c r="T125" s="233"/>
      <c r="U125" s="233"/>
      <c r="V125" s="233"/>
      <c r="W125" s="233"/>
      <c r="X125" s="233"/>
      <c r="Y125" s="233"/>
      <c r="Z125" s="233"/>
      <c r="AA125" s="233"/>
    </row>
    <row r="126" spans="4:27" s="139" customFormat="1">
      <c r="D126" s="191"/>
      <c r="N126" s="233"/>
      <c r="O126" s="233"/>
      <c r="P126" s="233"/>
      <c r="Q126" s="233"/>
      <c r="R126" s="303"/>
      <c r="S126" s="233"/>
      <c r="T126" s="233"/>
      <c r="U126" s="233"/>
      <c r="V126" s="233"/>
      <c r="W126" s="233"/>
      <c r="X126" s="233"/>
      <c r="Y126" s="233"/>
      <c r="Z126" s="233"/>
      <c r="AA126" s="233"/>
    </row>
    <row r="127" spans="4:27" s="139" customFormat="1">
      <c r="D127" s="191"/>
      <c r="N127" s="233"/>
      <c r="O127" s="233"/>
      <c r="P127" s="233"/>
      <c r="Q127" s="233"/>
      <c r="R127" s="303"/>
      <c r="S127" s="233"/>
      <c r="T127" s="233"/>
      <c r="U127" s="233"/>
      <c r="V127" s="233"/>
      <c r="W127" s="233"/>
      <c r="X127" s="233"/>
      <c r="Y127" s="233"/>
      <c r="Z127" s="233"/>
      <c r="AA127" s="233"/>
    </row>
    <row r="128" spans="4:27" s="139" customFormat="1">
      <c r="D128" s="191"/>
      <c r="N128" s="233"/>
      <c r="O128" s="233"/>
      <c r="P128" s="233"/>
      <c r="Q128" s="233"/>
      <c r="R128" s="303"/>
      <c r="S128" s="233"/>
      <c r="T128" s="233"/>
      <c r="U128" s="233"/>
      <c r="V128" s="233"/>
      <c r="W128" s="233"/>
      <c r="X128" s="233"/>
      <c r="Y128" s="233"/>
      <c r="Z128" s="233"/>
      <c r="AA128" s="233"/>
    </row>
    <row r="129" spans="4:27" s="139" customFormat="1">
      <c r="D129" s="191"/>
      <c r="N129" s="233"/>
      <c r="O129" s="233"/>
      <c r="P129" s="233"/>
      <c r="Q129" s="233"/>
      <c r="R129" s="303"/>
      <c r="S129" s="233"/>
      <c r="T129" s="233"/>
      <c r="U129" s="233"/>
      <c r="V129" s="233"/>
      <c r="W129" s="233"/>
      <c r="X129" s="233"/>
      <c r="Y129" s="233"/>
      <c r="Z129" s="233"/>
      <c r="AA129" s="233"/>
    </row>
    <row r="130" spans="4:27" s="139" customFormat="1">
      <c r="D130" s="191"/>
      <c r="N130" s="233"/>
      <c r="O130" s="233"/>
      <c r="P130" s="233"/>
      <c r="Q130" s="233"/>
      <c r="R130" s="303"/>
      <c r="S130" s="233"/>
      <c r="T130" s="233"/>
      <c r="U130" s="233"/>
      <c r="V130" s="233"/>
      <c r="W130" s="233"/>
      <c r="X130" s="233"/>
      <c r="Y130" s="233"/>
      <c r="Z130" s="233"/>
      <c r="AA130" s="233"/>
    </row>
    <row r="131" spans="4:27" s="139" customFormat="1">
      <c r="D131" s="191"/>
      <c r="N131" s="233"/>
      <c r="O131" s="233"/>
      <c r="P131" s="233"/>
      <c r="Q131" s="233"/>
      <c r="R131" s="303"/>
      <c r="S131" s="233"/>
      <c r="T131" s="233"/>
      <c r="U131" s="233"/>
      <c r="V131" s="233"/>
      <c r="W131" s="233"/>
      <c r="X131" s="233"/>
      <c r="Y131" s="233"/>
      <c r="Z131" s="233"/>
      <c r="AA131" s="233"/>
    </row>
    <row r="132" spans="4:27" s="139" customFormat="1">
      <c r="D132" s="191"/>
      <c r="N132" s="233"/>
      <c r="O132" s="233"/>
      <c r="P132" s="233"/>
      <c r="Q132" s="233"/>
      <c r="R132" s="303"/>
      <c r="S132" s="233"/>
      <c r="T132" s="233"/>
      <c r="U132" s="233"/>
      <c r="V132" s="233"/>
      <c r="W132" s="233"/>
      <c r="X132" s="233"/>
      <c r="Y132" s="233"/>
      <c r="Z132" s="233"/>
      <c r="AA132" s="233"/>
    </row>
    <row r="133" spans="4:27" s="139" customFormat="1">
      <c r="D133" s="191"/>
      <c r="N133" s="233"/>
      <c r="O133" s="233"/>
      <c r="P133" s="233"/>
      <c r="Q133" s="233"/>
      <c r="R133" s="303"/>
      <c r="S133" s="233"/>
      <c r="T133" s="233"/>
      <c r="U133" s="233"/>
      <c r="V133" s="233"/>
      <c r="W133" s="233"/>
      <c r="X133" s="233"/>
      <c r="Y133" s="233"/>
      <c r="Z133" s="233"/>
      <c r="AA133" s="233"/>
    </row>
    <row r="134" spans="4:27" s="139" customFormat="1">
      <c r="D134" s="191"/>
      <c r="N134" s="233"/>
      <c r="O134" s="233"/>
      <c r="P134" s="233"/>
      <c r="Q134" s="233"/>
      <c r="R134" s="303"/>
      <c r="S134" s="233"/>
      <c r="T134" s="233"/>
      <c r="U134" s="233"/>
      <c r="V134" s="233"/>
      <c r="W134" s="233"/>
      <c r="X134" s="233"/>
      <c r="Y134" s="233"/>
      <c r="Z134" s="233"/>
      <c r="AA134" s="233"/>
    </row>
    <row r="135" spans="4:27" s="139" customFormat="1">
      <c r="D135" s="191"/>
      <c r="N135" s="233"/>
      <c r="O135" s="233"/>
      <c r="P135" s="233"/>
      <c r="Q135" s="233"/>
      <c r="R135" s="303"/>
      <c r="S135" s="233"/>
      <c r="T135" s="233"/>
      <c r="U135" s="233"/>
      <c r="V135" s="233"/>
      <c r="W135" s="233"/>
      <c r="X135" s="233"/>
      <c r="Y135" s="233"/>
      <c r="Z135" s="233"/>
      <c r="AA135" s="233"/>
    </row>
    <row r="136" spans="4:27" s="139" customFormat="1">
      <c r="D136" s="191"/>
      <c r="N136" s="233"/>
      <c r="O136" s="233"/>
      <c r="P136" s="233"/>
      <c r="Q136" s="233"/>
      <c r="R136" s="303"/>
      <c r="S136" s="233"/>
      <c r="T136" s="233"/>
      <c r="U136" s="233"/>
      <c r="V136" s="233"/>
      <c r="W136" s="233"/>
      <c r="X136" s="233"/>
      <c r="Y136" s="233"/>
      <c r="Z136" s="233"/>
      <c r="AA136" s="233"/>
    </row>
    <row r="137" spans="4:27" s="139" customFormat="1">
      <c r="D137" s="191"/>
      <c r="N137" s="233"/>
      <c r="O137" s="233"/>
      <c r="P137" s="233"/>
      <c r="Q137" s="233"/>
      <c r="R137" s="303"/>
      <c r="S137" s="233"/>
      <c r="T137" s="233"/>
      <c r="U137" s="233"/>
      <c r="V137" s="233"/>
      <c r="W137" s="233"/>
      <c r="X137" s="233"/>
      <c r="Y137" s="233"/>
      <c r="Z137" s="233"/>
      <c r="AA137" s="233"/>
    </row>
    <row r="138" spans="4:27" s="139" customFormat="1">
      <c r="D138" s="191"/>
      <c r="N138" s="233"/>
      <c r="O138" s="233"/>
      <c r="P138" s="233"/>
      <c r="Q138" s="233"/>
      <c r="R138" s="303"/>
      <c r="S138" s="233"/>
      <c r="T138" s="233"/>
      <c r="U138" s="233"/>
      <c r="V138" s="233"/>
      <c r="W138" s="233"/>
      <c r="X138" s="233"/>
      <c r="Y138" s="233"/>
      <c r="Z138" s="233"/>
      <c r="AA138" s="233"/>
    </row>
    <row r="139" spans="4:27" s="139" customFormat="1">
      <c r="D139" s="191"/>
      <c r="N139" s="233"/>
      <c r="O139" s="233"/>
      <c r="P139" s="233"/>
      <c r="Q139" s="233"/>
      <c r="R139" s="303"/>
      <c r="S139" s="233"/>
      <c r="T139" s="233"/>
      <c r="U139" s="233"/>
      <c r="V139" s="233"/>
      <c r="W139" s="233"/>
      <c r="X139" s="233"/>
      <c r="Y139" s="233"/>
      <c r="Z139" s="233"/>
      <c r="AA139" s="233"/>
    </row>
    <row r="140" spans="4:27" s="139" customFormat="1">
      <c r="D140" s="191"/>
      <c r="N140" s="233"/>
      <c r="O140" s="233"/>
      <c r="P140" s="233"/>
      <c r="Q140" s="233"/>
      <c r="R140" s="303"/>
      <c r="S140" s="233"/>
      <c r="T140" s="233"/>
      <c r="U140" s="233"/>
      <c r="V140" s="233"/>
      <c r="W140" s="233"/>
      <c r="X140" s="233"/>
      <c r="Y140" s="233"/>
      <c r="Z140" s="233"/>
      <c r="AA140" s="233"/>
    </row>
    <row r="141" spans="4:27" s="139" customFormat="1">
      <c r="D141" s="191"/>
      <c r="N141" s="233"/>
      <c r="O141" s="233"/>
      <c r="P141" s="233"/>
      <c r="Q141" s="233"/>
      <c r="R141" s="303"/>
      <c r="S141" s="233"/>
      <c r="T141" s="233"/>
      <c r="U141" s="233"/>
      <c r="V141" s="233"/>
      <c r="W141" s="233"/>
      <c r="X141" s="233"/>
      <c r="Y141" s="233"/>
      <c r="Z141" s="233"/>
      <c r="AA141" s="233"/>
    </row>
    <row r="142" spans="4:27" s="139" customFormat="1">
      <c r="D142" s="191"/>
      <c r="N142" s="233"/>
      <c r="O142" s="233"/>
      <c r="P142" s="233"/>
      <c r="Q142" s="233"/>
      <c r="R142" s="303"/>
      <c r="S142" s="233"/>
      <c r="T142" s="233"/>
      <c r="U142" s="233"/>
      <c r="V142" s="233"/>
      <c r="W142" s="233"/>
      <c r="X142" s="233"/>
      <c r="Y142" s="233"/>
      <c r="Z142" s="233"/>
      <c r="AA142" s="233"/>
    </row>
    <row r="143" spans="4:27" s="139" customFormat="1">
      <c r="D143" s="191"/>
      <c r="N143" s="233"/>
      <c r="O143" s="233"/>
      <c r="P143" s="233"/>
      <c r="Q143" s="233"/>
      <c r="R143" s="303"/>
      <c r="S143" s="233"/>
      <c r="T143" s="233"/>
      <c r="U143" s="233"/>
      <c r="V143" s="233"/>
      <c r="W143" s="233"/>
      <c r="X143" s="233"/>
      <c r="Y143" s="233"/>
      <c r="Z143" s="233"/>
      <c r="AA143" s="233"/>
    </row>
    <row r="144" spans="4:27" s="139" customFormat="1">
      <c r="D144" s="191"/>
      <c r="N144" s="233"/>
      <c r="O144" s="233"/>
      <c r="P144" s="233"/>
      <c r="Q144" s="233"/>
      <c r="R144" s="303"/>
      <c r="S144" s="233"/>
      <c r="T144" s="233"/>
      <c r="U144" s="233"/>
      <c r="V144" s="233"/>
      <c r="W144" s="233"/>
      <c r="X144" s="233"/>
      <c r="Y144" s="233"/>
      <c r="Z144" s="233"/>
      <c r="AA144" s="233"/>
    </row>
    <row r="145" spans="4:27" s="139" customFormat="1">
      <c r="D145" s="191"/>
      <c r="N145" s="233"/>
      <c r="O145" s="233"/>
      <c r="P145" s="233"/>
      <c r="Q145" s="233"/>
      <c r="R145" s="303"/>
      <c r="S145" s="233"/>
      <c r="T145" s="233"/>
      <c r="U145" s="233"/>
      <c r="V145" s="233"/>
      <c r="W145" s="233"/>
      <c r="X145" s="233"/>
      <c r="Y145" s="233"/>
      <c r="Z145" s="233"/>
      <c r="AA145" s="233"/>
    </row>
    <row r="146" spans="4:27" s="139" customFormat="1">
      <c r="D146" s="191"/>
      <c r="N146" s="233"/>
      <c r="O146" s="233"/>
      <c r="P146" s="233"/>
      <c r="Q146" s="233"/>
      <c r="R146" s="303"/>
      <c r="S146" s="233"/>
      <c r="T146" s="233"/>
      <c r="U146" s="233"/>
      <c r="V146" s="233"/>
      <c r="W146" s="233"/>
      <c r="X146" s="233"/>
      <c r="Y146" s="233"/>
      <c r="Z146" s="233"/>
      <c r="AA146" s="233"/>
    </row>
    <row r="147" spans="4:27" s="139" customFormat="1">
      <c r="D147" s="191"/>
      <c r="N147" s="233"/>
      <c r="O147" s="233"/>
      <c r="P147" s="233"/>
      <c r="Q147" s="233"/>
      <c r="R147" s="303"/>
      <c r="S147" s="233"/>
      <c r="T147" s="233"/>
      <c r="U147" s="233"/>
      <c r="V147" s="233"/>
      <c r="W147" s="233"/>
      <c r="X147" s="233"/>
      <c r="Y147" s="233"/>
      <c r="Z147" s="233"/>
      <c r="AA147" s="233"/>
    </row>
    <row r="148" spans="4:27" s="139" customFormat="1">
      <c r="D148" s="191"/>
      <c r="N148" s="233"/>
      <c r="O148" s="233"/>
      <c r="P148" s="233"/>
      <c r="Q148" s="233"/>
      <c r="R148" s="303"/>
      <c r="S148" s="233"/>
      <c r="T148" s="233"/>
      <c r="U148" s="233"/>
      <c r="V148" s="233"/>
      <c r="W148" s="233"/>
      <c r="X148" s="233"/>
      <c r="Y148" s="233"/>
      <c r="Z148" s="233"/>
      <c r="AA148" s="233"/>
    </row>
    <row r="149" spans="4:27" s="139" customFormat="1">
      <c r="D149" s="191"/>
      <c r="N149" s="233"/>
      <c r="O149" s="233"/>
      <c r="P149" s="233"/>
      <c r="Q149" s="233"/>
      <c r="R149" s="303"/>
      <c r="S149" s="233"/>
      <c r="T149" s="233"/>
      <c r="U149" s="233"/>
      <c r="V149" s="233"/>
      <c r="W149" s="233"/>
      <c r="X149" s="233"/>
      <c r="Y149" s="233"/>
      <c r="Z149" s="233"/>
      <c r="AA149" s="233"/>
    </row>
    <row r="150" spans="4:27" s="139" customFormat="1">
      <c r="D150" s="191"/>
      <c r="N150" s="233"/>
      <c r="O150" s="233"/>
      <c r="P150" s="233"/>
      <c r="Q150" s="233"/>
      <c r="R150" s="303"/>
      <c r="S150" s="233"/>
      <c r="T150" s="233"/>
      <c r="U150" s="233"/>
      <c r="V150" s="233"/>
      <c r="W150" s="233"/>
      <c r="X150" s="233"/>
      <c r="Y150" s="233"/>
      <c r="Z150" s="233"/>
      <c r="AA150" s="233"/>
    </row>
    <row r="151" spans="4:27" s="139" customFormat="1">
      <c r="D151" s="191"/>
      <c r="N151" s="233"/>
      <c r="O151" s="233"/>
      <c r="P151" s="233"/>
      <c r="Q151" s="233"/>
      <c r="R151" s="303"/>
      <c r="S151" s="233"/>
      <c r="T151" s="233"/>
      <c r="U151" s="233"/>
      <c r="V151" s="233"/>
      <c r="W151" s="233"/>
      <c r="X151" s="233"/>
      <c r="Y151" s="233"/>
      <c r="Z151" s="233"/>
      <c r="AA151" s="233"/>
    </row>
    <row r="152" spans="4:27" s="139" customFormat="1">
      <c r="D152" s="191"/>
      <c r="N152" s="233"/>
      <c r="O152" s="233"/>
      <c r="P152" s="233"/>
      <c r="Q152" s="233"/>
      <c r="R152" s="303"/>
      <c r="S152" s="233"/>
      <c r="T152" s="233"/>
      <c r="U152" s="233"/>
      <c r="V152" s="233"/>
      <c r="W152" s="233"/>
      <c r="X152" s="233"/>
      <c r="Y152" s="233"/>
      <c r="Z152" s="233"/>
      <c r="AA152" s="233"/>
    </row>
    <row r="153" spans="4:27" s="139" customFormat="1">
      <c r="D153" s="191"/>
      <c r="N153" s="233"/>
      <c r="O153" s="233"/>
      <c r="P153" s="233"/>
      <c r="Q153" s="233"/>
      <c r="R153" s="303"/>
      <c r="S153" s="233"/>
      <c r="T153" s="233"/>
      <c r="U153" s="233"/>
      <c r="V153" s="233"/>
      <c r="W153" s="233"/>
      <c r="X153" s="233"/>
      <c r="Y153" s="233"/>
      <c r="Z153" s="233"/>
      <c r="AA153" s="233"/>
    </row>
    <row r="154" spans="4:27" s="139" customFormat="1">
      <c r="D154" s="191"/>
      <c r="N154" s="233"/>
      <c r="O154" s="233"/>
      <c r="P154" s="233"/>
      <c r="Q154" s="233"/>
      <c r="R154" s="303"/>
      <c r="S154" s="233"/>
      <c r="T154" s="233"/>
      <c r="U154" s="233"/>
      <c r="V154" s="233"/>
      <c r="W154" s="233"/>
      <c r="X154" s="233"/>
      <c r="Y154" s="233"/>
      <c r="Z154" s="233"/>
      <c r="AA154" s="233"/>
    </row>
    <row r="155" spans="4:27" s="139" customFormat="1">
      <c r="D155" s="191"/>
      <c r="N155" s="233"/>
      <c r="O155" s="233"/>
      <c r="P155" s="233"/>
      <c r="Q155" s="233"/>
      <c r="R155" s="303"/>
      <c r="S155" s="233"/>
      <c r="T155" s="233"/>
      <c r="U155" s="233"/>
      <c r="V155" s="233"/>
      <c r="W155" s="233"/>
      <c r="X155" s="233"/>
      <c r="Y155" s="233"/>
      <c r="Z155" s="233"/>
      <c r="AA155" s="233"/>
    </row>
    <row r="156" spans="4:27" s="139" customFormat="1">
      <c r="D156" s="191"/>
      <c r="N156" s="233"/>
      <c r="O156" s="233"/>
      <c r="P156" s="233"/>
      <c r="Q156" s="233"/>
      <c r="R156" s="303"/>
      <c r="S156" s="233"/>
      <c r="T156" s="233"/>
      <c r="U156" s="233"/>
      <c r="V156" s="233"/>
      <c r="W156" s="233"/>
      <c r="X156" s="233"/>
      <c r="Y156" s="233"/>
      <c r="Z156" s="233"/>
      <c r="AA156" s="233"/>
    </row>
    <row r="157" spans="4:27" s="139" customFormat="1">
      <c r="D157" s="191"/>
      <c r="N157" s="233"/>
      <c r="O157" s="233"/>
      <c r="P157" s="233"/>
      <c r="Q157" s="233"/>
      <c r="R157" s="303"/>
      <c r="S157" s="233"/>
      <c r="T157" s="233"/>
      <c r="U157" s="233"/>
      <c r="V157" s="233"/>
      <c r="W157" s="233"/>
      <c r="X157" s="233"/>
      <c r="Y157" s="233"/>
      <c r="Z157" s="233"/>
      <c r="AA157" s="233"/>
    </row>
    <row r="158" spans="4:27" s="139" customFormat="1">
      <c r="D158" s="191"/>
      <c r="N158" s="233"/>
      <c r="O158" s="233"/>
      <c r="P158" s="233"/>
      <c r="Q158" s="233"/>
      <c r="R158" s="303"/>
      <c r="S158" s="233"/>
      <c r="T158" s="233"/>
      <c r="U158" s="233"/>
      <c r="V158" s="233"/>
      <c r="W158" s="233"/>
      <c r="X158" s="233"/>
      <c r="Y158" s="233"/>
      <c r="Z158" s="233"/>
      <c r="AA158" s="233"/>
    </row>
    <row r="159" spans="4:27" s="139" customFormat="1">
      <c r="D159" s="191"/>
      <c r="N159" s="233"/>
      <c r="O159" s="233"/>
      <c r="P159" s="233"/>
      <c r="Q159" s="233"/>
      <c r="R159" s="303"/>
      <c r="S159" s="233"/>
      <c r="T159" s="233"/>
      <c r="U159" s="233"/>
      <c r="V159" s="233"/>
      <c r="W159" s="233"/>
      <c r="X159" s="233"/>
      <c r="Y159" s="233"/>
      <c r="Z159" s="233"/>
      <c r="AA159" s="233"/>
    </row>
    <row r="160" spans="4:27" s="139" customFormat="1">
      <c r="D160" s="191"/>
      <c r="N160" s="233"/>
      <c r="O160" s="233"/>
      <c r="P160" s="233"/>
      <c r="Q160" s="233"/>
      <c r="R160" s="303"/>
      <c r="S160" s="233"/>
      <c r="T160" s="233"/>
      <c r="U160" s="233"/>
      <c r="V160" s="233"/>
      <c r="W160" s="233"/>
      <c r="X160" s="233"/>
      <c r="Y160" s="233"/>
      <c r="Z160" s="233"/>
      <c r="AA160" s="233"/>
    </row>
    <row r="161" spans="4:27" s="139" customFormat="1">
      <c r="D161" s="191"/>
      <c r="N161" s="233"/>
      <c r="O161" s="233"/>
      <c r="P161" s="233"/>
      <c r="Q161" s="233"/>
      <c r="R161" s="303"/>
      <c r="S161" s="233"/>
      <c r="T161" s="233"/>
      <c r="U161" s="233"/>
      <c r="V161" s="233"/>
      <c r="W161" s="233"/>
      <c r="X161" s="233"/>
      <c r="Y161" s="233"/>
      <c r="Z161" s="233"/>
      <c r="AA161" s="233"/>
    </row>
    <row r="162" spans="4:27" s="139" customFormat="1">
      <c r="D162" s="191"/>
      <c r="N162" s="233"/>
      <c r="O162" s="233"/>
      <c r="P162" s="233"/>
      <c r="Q162" s="233"/>
      <c r="R162" s="303"/>
      <c r="S162" s="233"/>
      <c r="T162" s="233"/>
      <c r="U162" s="233"/>
      <c r="V162" s="233"/>
      <c r="W162" s="233"/>
      <c r="X162" s="233"/>
      <c r="Y162" s="233"/>
      <c r="Z162" s="233"/>
      <c r="AA162" s="233"/>
    </row>
    <row r="163" spans="4:27" s="139" customFormat="1">
      <c r="D163" s="191"/>
      <c r="N163" s="233"/>
      <c r="O163" s="233"/>
      <c r="P163" s="233"/>
      <c r="Q163" s="233"/>
      <c r="R163" s="303"/>
      <c r="S163" s="233"/>
      <c r="T163" s="233"/>
      <c r="U163" s="233"/>
      <c r="V163" s="233"/>
      <c r="W163" s="233"/>
      <c r="X163" s="233"/>
      <c r="Y163" s="233"/>
      <c r="Z163" s="233"/>
      <c r="AA163" s="233"/>
    </row>
    <row r="164" spans="4:27" s="139" customFormat="1">
      <c r="D164" s="191"/>
      <c r="N164" s="233"/>
      <c r="O164" s="233"/>
      <c r="P164" s="233"/>
      <c r="Q164" s="233"/>
      <c r="R164" s="303"/>
      <c r="S164" s="233"/>
      <c r="T164" s="233"/>
      <c r="U164" s="233"/>
      <c r="V164" s="233"/>
      <c r="W164" s="233"/>
      <c r="X164" s="233"/>
      <c r="Y164" s="233"/>
      <c r="Z164" s="233"/>
      <c r="AA164" s="233"/>
    </row>
    <row r="165" spans="4:27" s="139" customFormat="1">
      <c r="D165" s="191"/>
      <c r="N165" s="233"/>
      <c r="O165" s="233"/>
      <c r="P165" s="233"/>
      <c r="Q165" s="233"/>
      <c r="R165" s="303"/>
      <c r="S165" s="233"/>
      <c r="T165" s="233"/>
      <c r="U165" s="233"/>
      <c r="V165" s="233"/>
      <c r="W165" s="233"/>
      <c r="X165" s="233"/>
      <c r="Y165" s="233"/>
      <c r="Z165" s="233"/>
      <c r="AA165" s="233"/>
    </row>
    <row r="166" spans="4:27" s="139" customFormat="1">
      <c r="D166" s="191"/>
      <c r="N166" s="233"/>
      <c r="O166" s="233"/>
      <c r="P166" s="233"/>
      <c r="Q166" s="233"/>
      <c r="R166" s="303"/>
      <c r="S166" s="233"/>
      <c r="T166" s="233"/>
      <c r="U166" s="233"/>
      <c r="V166" s="233"/>
      <c r="W166" s="233"/>
      <c r="X166" s="233"/>
      <c r="Y166" s="233"/>
      <c r="Z166" s="233"/>
      <c r="AA166" s="233"/>
    </row>
    <row r="167" spans="4:27" s="139" customFormat="1">
      <c r="D167" s="191"/>
      <c r="N167" s="233"/>
      <c r="O167" s="233"/>
      <c r="P167" s="233"/>
      <c r="Q167" s="233"/>
      <c r="R167" s="303"/>
      <c r="S167" s="233"/>
      <c r="T167" s="233"/>
      <c r="U167" s="233"/>
      <c r="V167" s="233"/>
      <c r="W167" s="233"/>
      <c r="X167" s="233"/>
      <c r="Y167" s="233"/>
      <c r="Z167" s="233"/>
      <c r="AA167" s="233"/>
    </row>
    <row r="168" spans="4:27" s="139" customFormat="1">
      <c r="D168" s="191"/>
      <c r="N168" s="233"/>
      <c r="O168" s="233"/>
      <c r="P168" s="233"/>
      <c r="Q168" s="233"/>
      <c r="R168" s="303"/>
      <c r="S168" s="233"/>
      <c r="T168" s="233"/>
      <c r="U168" s="233"/>
      <c r="V168" s="233"/>
      <c r="W168" s="233"/>
      <c r="X168" s="233"/>
      <c r="Y168" s="233"/>
      <c r="Z168" s="233"/>
      <c r="AA168" s="233"/>
    </row>
    <row r="169" spans="4:27" s="139" customFormat="1">
      <c r="D169" s="191"/>
      <c r="N169" s="233"/>
      <c r="O169" s="233"/>
      <c r="P169" s="233"/>
      <c r="Q169" s="233"/>
      <c r="R169" s="303"/>
      <c r="S169" s="233"/>
      <c r="T169" s="233"/>
      <c r="U169" s="233"/>
      <c r="V169" s="233"/>
      <c r="W169" s="233"/>
      <c r="X169" s="233"/>
      <c r="Y169" s="233"/>
      <c r="Z169" s="233"/>
      <c r="AA169" s="233"/>
    </row>
    <row r="170" spans="4:27" s="139" customFormat="1">
      <c r="D170" s="191"/>
      <c r="N170" s="233"/>
      <c r="O170" s="233"/>
      <c r="P170" s="233"/>
      <c r="Q170" s="233"/>
      <c r="R170" s="303"/>
      <c r="S170" s="233"/>
      <c r="T170" s="233"/>
      <c r="U170" s="233"/>
      <c r="V170" s="233"/>
      <c r="W170" s="233"/>
      <c r="X170" s="233"/>
      <c r="Y170" s="233"/>
      <c r="Z170" s="233"/>
      <c r="AA170" s="233"/>
    </row>
    <row r="171" spans="4:27" s="139" customFormat="1">
      <c r="D171" s="191"/>
      <c r="N171" s="233"/>
      <c r="O171" s="233"/>
      <c r="P171" s="233"/>
      <c r="Q171" s="233"/>
      <c r="R171" s="303"/>
      <c r="S171" s="233"/>
      <c r="T171" s="233"/>
      <c r="U171" s="233"/>
      <c r="V171" s="233"/>
      <c r="W171" s="233"/>
      <c r="X171" s="233"/>
      <c r="Y171" s="233"/>
      <c r="Z171" s="233"/>
      <c r="AA171" s="233"/>
    </row>
    <row r="172" spans="4:27" s="139" customFormat="1">
      <c r="D172" s="191"/>
      <c r="N172" s="233"/>
      <c r="O172" s="233"/>
      <c r="P172" s="233"/>
      <c r="Q172" s="233"/>
      <c r="R172" s="303"/>
      <c r="S172" s="233"/>
      <c r="T172" s="233"/>
      <c r="U172" s="233"/>
      <c r="V172" s="233"/>
      <c r="W172" s="233"/>
      <c r="X172" s="233"/>
      <c r="Y172" s="233"/>
      <c r="Z172" s="233"/>
      <c r="AA172" s="233"/>
    </row>
    <row r="173" spans="4:27" s="139" customFormat="1">
      <c r="D173" s="191"/>
      <c r="N173" s="233"/>
      <c r="O173" s="233"/>
      <c r="P173" s="233"/>
      <c r="Q173" s="233"/>
      <c r="R173" s="303"/>
      <c r="S173" s="233"/>
      <c r="T173" s="233"/>
      <c r="U173" s="233"/>
      <c r="V173" s="233"/>
      <c r="W173" s="233"/>
      <c r="X173" s="233"/>
      <c r="Y173" s="233"/>
      <c r="Z173" s="233"/>
      <c r="AA173" s="233"/>
    </row>
    <row r="174" spans="4:27" s="139" customFormat="1">
      <c r="D174" s="191"/>
      <c r="N174" s="233"/>
      <c r="O174" s="233"/>
      <c r="P174" s="233"/>
      <c r="Q174" s="233"/>
      <c r="R174" s="303"/>
      <c r="S174" s="233"/>
      <c r="T174" s="233"/>
      <c r="U174" s="233"/>
      <c r="V174" s="233"/>
      <c r="W174" s="233"/>
      <c r="X174" s="233"/>
      <c r="Y174" s="233"/>
      <c r="Z174" s="233"/>
      <c r="AA174" s="233"/>
    </row>
    <row r="175" spans="4:27" s="139" customFormat="1">
      <c r="D175" s="191"/>
      <c r="N175" s="233"/>
      <c r="O175" s="233"/>
      <c r="P175" s="233"/>
      <c r="Q175" s="233"/>
      <c r="R175" s="303"/>
      <c r="S175" s="233"/>
      <c r="T175" s="233"/>
      <c r="U175" s="233"/>
      <c r="V175" s="233"/>
      <c r="W175" s="233"/>
      <c r="X175" s="233"/>
      <c r="Y175" s="233"/>
      <c r="Z175" s="233"/>
      <c r="AA175" s="233"/>
    </row>
    <row r="176" spans="4:27" s="139" customFormat="1">
      <c r="D176" s="191"/>
      <c r="N176" s="233"/>
      <c r="O176" s="233"/>
      <c r="P176" s="233"/>
      <c r="Q176" s="233"/>
      <c r="R176" s="303"/>
      <c r="S176" s="233"/>
      <c r="T176" s="233"/>
      <c r="U176" s="233"/>
      <c r="V176" s="233"/>
      <c r="W176" s="233"/>
      <c r="X176" s="233"/>
      <c r="Y176" s="233"/>
      <c r="Z176" s="233"/>
      <c r="AA176" s="233"/>
    </row>
    <row r="177" spans="4:27" s="139" customFormat="1">
      <c r="D177" s="191"/>
      <c r="N177" s="233"/>
      <c r="O177" s="233"/>
      <c r="P177" s="233"/>
      <c r="Q177" s="233"/>
      <c r="R177" s="303"/>
      <c r="S177" s="233"/>
      <c r="T177" s="233"/>
      <c r="U177" s="233"/>
      <c r="V177" s="233"/>
      <c r="W177" s="233"/>
      <c r="X177" s="233"/>
      <c r="Y177" s="233"/>
      <c r="Z177" s="233"/>
      <c r="AA177" s="233"/>
    </row>
    <row r="178" spans="4:27" s="139" customFormat="1">
      <c r="D178" s="191"/>
      <c r="N178" s="233"/>
      <c r="O178" s="233"/>
      <c r="P178" s="233"/>
      <c r="Q178" s="233"/>
      <c r="R178" s="303"/>
      <c r="S178" s="233"/>
      <c r="T178" s="233"/>
      <c r="U178" s="233"/>
      <c r="V178" s="233"/>
      <c r="W178" s="233"/>
      <c r="X178" s="233"/>
      <c r="Y178" s="233"/>
      <c r="Z178" s="233"/>
      <c r="AA178" s="233"/>
    </row>
    <row r="179" spans="4:27" s="139" customFormat="1">
      <c r="D179" s="191"/>
      <c r="N179" s="233"/>
      <c r="O179" s="233"/>
      <c r="P179" s="233"/>
      <c r="Q179" s="233"/>
      <c r="R179" s="303"/>
      <c r="S179" s="233"/>
      <c r="T179" s="233"/>
      <c r="U179" s="233"/>
      <c r="V179" s="233"/>
      <c r="W179" s="233"/>
      <c r="X179" s="233"/>
      <c r="Y179" s="233"/>
      <c r="Z179" s="233"/>
      <c r="AA179" s="233"/>
    </row>
    <row r="180" spans="4:27" s="139" customFormat="1">
      <c r="D180" s="191"/>
      <c r="N180" s="233"/>
      <c r="O180" s="233"/>
      <c r="P180" s="233"/>
      <c r="Q180" s="233"/>
      <c r="R180" s="303"/>
      <c r="S180" s="233"/>
      <c r="T180" s="233"/>
      <c r="U180" s="233"/>
      <c r="V180" s="233"/>
      <c r="W180" s="233"/>
      <c r="X180" s="233"/>
      <c r="Y180" s="233"/>
      <c r="Z180" s="233"/>
      <c r="AA180" s="233"/>
    </row>
    <row r="181" spans="4:27" s="139" customFormat="1">
      <c r="D181" s="191"/>
      <c r="N181" s="233"/>
      <c r="O181" s="233"/>
      <c r="P181" s="233"/>
      <c r="Q181" s="233"/>
      <c r="R181" s="303"/>
      <c r="S181" s="233"/>
      <c r="T181" s="233"/>
      <c r="U181" s="233"/>
      <c r="V181" s="233"/>
      <c r="W181" s="233"/>
      <c r="X181" s="233"/>
      <c r="Y181" s="233"/>
      <c r="Z181" s="233"/>
      <c r="AA181" s="233"/>
    </row>
    <row r="182" spans="4:27" s="139" customFormat="1">
      <c r="D182" s="191"/>
      <c r="N182" s="233"/>
      <c r="O182" s="233"/>
      <c r="P182" s="233"/>
      <c r="Q182" s="233"/>
      <c r="R182" s="303"/>
      <c r="S182" s="233"/>
      <c r="T182" s="233"/>
      <c r="U182" s="233"/>
      <c r="V182" s="233"/>
      <c r="W182" s="233"/>
      <c r="X182" s="233"/>
      <c r="Y182" s="233"/>
      <c r="Z182" s="233"/>
      <c r="AA182" s="233"/>
    </row>
    <row r="183" spans="4:27" s="139" customFormat="1">
      <c r="D183" s="191"/>
      <c r="N183" s="233"/>
      <c r="O183" s="233"/>
      <c r="P183" s="233"/>
      <c r="Q183" s="233"/>
      <c r="R183" s="303"/>
      <c r="S183" s="233"/>
      <c r="T183" s="233"/>
      <c r="U183" s="233"/>
      <c r="V183" s="233"/>
      <c r="W183" s="233"/>
      <c r="X183" s="233"/>
      <c r="Y183" s="233"/>
      <c r="Z183" s="233"/>
      <c r="AA183" s="233"/>
    </row>
    <row r="184" spans="4:27" s="139" customFormat="1">
      <c r="D184" s="191"/>
      <c r="N184" s="233"/>
      <c r="O184" s="233"/>
      <c r="P184" s="233"/>
      <c r="Q184" s="233"/>
      <c r="R184" s="303"/>
      <c r="S184" s="233"/>
      <c r="T184" s="233"/>
      <c r="U184" s="233"/>
      <c r="V184" s="233"/>
      <c r="W184" s="233"/>
      <c r="X184" s="233"/>
      <c r="Y184" s="233"/>
      <c r="Z184" s="233"/>
      <c r="AA184" s="233"/>
    </row>
    <row r="185" spans="4:27" s="139" customFormat="1">
      <c r="D185" s="191"/>
      <c r="N185" s="233"/>
      <c r="O185" s="233"/>
      <c r="P185" s="233"/>
      <c r="Q185" s="233"/>
      <c r="R185" s="303"/>
      <c r="S185" s="233"/>
      <c r="T185" s="233"/>
      <c r="U185" s="233"/>
      <c r="V185" s="233"/>
      <c r="W185" s="233"/>
      <c r="X185" s="233"/>
      <c r="Y185" s="233"/>
      <c r="Z185" s="233"/>
      <c r="AA185" s="233"/>
    </row>
    <row r="186" spans="4:27" s="139" customFormat="1">
      <c r="D186" s="191"/>
      <c r="N186" s="233"/>
      <c r="O186" s="233"/>
      <c r="P186" s="233"/>
      <c r="Q186" s="233"/>
      <c r="R186" s="303"/>
      <c r="S186" s="233"/>
      <c r="T186" s="233"/>
      <c r="U186" s="233"/>
      <c r="V186" s="233"/>
      <c r="W186" s="233"/>
      <c r="X186" s="233"/>
      <c r="Y186" s="233"/>
      <c r="Z186" s="233"/>
      <c r="AA186" s="233"/>
    </row>
    <row r="187" spans="4:27" s="139" customFormat="1">
      <c r="D187" s="191"/>
      <c r="N187" s="233"/>
      <c r="O187" s="233"/>
      <c r="P187" s="233"/>
      <c r="Q187" s="233"/>
      <c r="R187" s="303"/>
      <c r="S187" s="233"/>
      <c r="T187" s="233"/>
      <c r="U187" s="233"/>
      <c r="V187" s="233"/>
      <c r="W187" s="233"/>
      <c r="X187" s="233"/>
      <c r="Y187" s="233"/>
      <c r="Z187" s="233"/>
      <c r="AA187" s="233"/>
    </row>
    <row r="188" spans="4:27" s="139" customFormat="1">
      <c r="D188" s="191"/>
      <c r="N188" s="233"/>
      <c r="O188" s="233"/>
      <c r="P188" s="233"/>
      <c r="Q188" s="233"/>
      <c r="R188" s="303"/>
      <c r="S188" s="233"/>
      <c r="T188" s="233"/>
      <c r="U188" s="233"/>
      <c r="V188" s="233"/>
      <c r="W188" s="233"/>
      <c r="X188" s="233"/>
      <c r="Y188" s="233"/>
      <c r="Z188" s="233"/>
      <c r="AA188" s="233"/>
    </row>
    <row r="189" spans="4:27" s="139" customFormat="1">
      <c r="D189" s="191"/>
      <c r="N189" s="233"/>
      <c r="O189" s="233"/>
      <c r="P189" s="233"/>
      <c r="Q189" s="233"/>
      <c r="R189" s="303"/>
      <c r="S189" s="233"/>
      <c r="T189" s="233"/>
      <c r="U189" s="233"/>
      <c r="V189" s="233"/>
      <c r="W189" s="233"/>
      <c r="X189" s="233"/>
      <c r="Y189" s="233"/>
      <c r="Z189" s="233"/>
      <c r="AA189" s="233"/>
    </row>
    <row r="190" spans="4:27" s="139" customFormat="1">
      <c r="D190" s="191"/>
      <c r="N190" s="233"/>
      <c r="O190" s="233"/>
      <c r="P190" s="233"/>
      <c r="Q190" s="233"/>
      <c r="R190" s="303"/>
      <c r="S190" s="233"/>
      <c r="T190" s="233"/>
      <c r="U190" s="233"/>
      <c r="V190" s="233"/>
      <c r="W190" s="233"/>
      <c r="X190" s="233"/>
      <c r="Y190" s="233"/>
      <c r="Z190" s="233"/>
      <c r="AA190" s="233"/>
    </row>
    <row r="191" spans="4:27" s="139" customFormat="1">
      <c r="D191" s="191"/>
      <c r="N191" s="233"/>
      <c r="O191" s="233"/>
      <c r="P191" s="233"/>
      <c r="Q191" s="233"/>
      <c r="R191" s="303"/>
      <c r="S191" s="233"/>
      <c r="T191" s="233"/>
      <c r="U191" s="233"/>
      <c r="V191" s="233"/>
      <c r="W191" s="233"/>
      <c r="X191" s="233"/>
      <c r="Y191" s="233"/>
      <c r="Z191" s="233"/>
      <c r="AA191" s="233"/>
    </row>
    <row r="192" spans="4:27" s="139" customFormat="1">
      <c r="D192" s="191"/>
      <c r="N192" s="233"/>
      <c r="O192" s="233"/>
      <c r="P192" s="233"/>
      <c r="Q192" s="233"/>
      <c r="R192" s="303"/>
      <c r="S192" s="233"/>
      <c r="T192" s="233"/>
      <c r="U192" s="233"/>
      <c r="V192" s="233"/>
      <c r="W192" s="233"/>
      <c r="X192" s="233"/>
      <c r="Y192" s="233"/>
      <c r="Z192" s="233"/>
      <c r="AA192" s="233"/>
    </row>
    <row r="193" spans="4:27" s="139" customFormat="1">
      <c r="D193" s="191"/>
      <c r="N193" s="233"/>
      <c r="O193" s="233"/>
      <c r="P193" s="233"/>
      <c r="Q193" s="233"/>
      <c r="R193" s="303"/>
      <c r="S193" s="233"/>
      <c r="T193" s="233"/>
      <c r="U193" s="233"/>
      <c r="V193" s="233"/>
      <c r="W193" s="233"/>
      <c r="X193" s="233"/>
      <c r="Y193" s="233"/>
      <c r="Z193" s="233"/>
      <c r="AA193" s="233"/>
    </row>
    <row r="194" spans="4:27" s="139" customFormat="1">
      <c r="D194" s="191"/>
      <c r="N194" s="233"/>
      <c r="O194" s="233"/>
      <c r="P194" s="233"/>
      <c r="Q194" s="233"/>
      <c r="R194" s="303"/>
      <c r="S194" s="233"/>
      <c r="T194" s="233"/>
      <c r="U194" s="233"/>
      <c r="V194" s="233"/>
      <c r="W194" s="233"/>
      <c r="X194" s="233"/>
      <c r="Y194" s="233"/>
      <c r="Z194" s="233"/>
      <c r="AA194" s="233"/>
    </row>
    <row r="195" spans="4:27" s="139" customFormat="1">
      <c r="D195" s="191"/>
      <c r="N195" s="233"/>
      <c r="O195" s="233"/>
      <c r="P195" s="233"/>
      <c r="Q195" s="233"/>
      <c r="R195" s="303"/>
      <c r="S195" s="233"/>
      <c r="T195" s="233"/>
      <c r="U195" s="233"/>
      <c r="V195" s="233"/>
      <c r="W195" s="233"/>
      <c r="X195" s="233"/>
      <c r="Y195" s="233"/>
      <c r="Z195" s="233"/>
      <c r="AA195" s="233"/>
    </row>
    <row r="196" spans="4:27" s="139" customFormat="1">
      <c r="D196" s="191"/>
      <c r="N196" s="233"/>
      <c r="O196" s="233"/>
      <c r="P196" s="233"/>
      <c r="Q196" s="233"/>
      <c r="R196" s="303"/>
      <c r="S196" s="233"/>
      <c r="T196" s="233"/>
      <c r="U196" s="233"/>
      <c r="V196" s="233"/>
      <c r="W196" s="233"/>
      <c r="X196" s="233"/>
      <c r="Y196" s="233"/>
      <c r="Z196" s="233"/>
      <c r="AA196" s="233"/>
    </row>
    <row r="197" spans="4:27" s="139" customFormat="1">
      <c r="D197" s="191"/>
      <c r="N197" s="233"/>
      <c r="O197" s="233"/>
      <c r="P197" s="233"/>
      <c r="Q197" s="233"/>
      <c r="R197" s="303"/>
      <c r="S197" s="233"/>
      <c r="T197" s="233"/>
      <c r="U197" s="233"/>
      <c r="V197" s="233"/>
      <c r="W197" s="233"/>
      <c r="X197" s="233"/>
      <c r="Y197" s="233"/>
      <c r="Z197" s="233"/>
      <c r="AA197" s="233"/>
    </row>
    <row r="198" spans="4:27" s="139" customFormat="1">
      <c r="D198" s="191"/>
      <c r="N198" s="233"/>
      <c r="O198" s="233"/>
      <c r="P198" s="233"/>
      <c r="Q198" s="233"/>
      <c r="R198" s="303"/>
      <c r="S198" s="233"/>
      <c r="T198" s="233"/>
      <c r="U198" s="233"/>
      <c r="V198" s="233"/>
      <c r="W198" s="233"/>
      <c r="X198" s="233"/>
      <c r="Y198" s="233"/>
      <c r="Z198" s="233"/>
      <c r="AA198" s="233"/>
    </row>
    <row r="199" spans="4:27" s="139" customFormat="1">
      <c r="D199" s="191"/>
      <c r="N199" s="233"/>
      <c r="O199" s="233"/>
      <c r="P199" s="233"/>
      <c r="Q199" s="233"/>
      <c r="R199" s="303"/>
      <c r="S199" s="233"/>
      <c r="T199" s="233"/>
      <c r="U199" s="233"/>
      <c r="V199" s="233"/>
      <c r="W199" s="233"/>
      <c r="X199" s="233"/>
      <c r="Y199" s="233"/>
      <c r="Z199" s="233"/>
      <c r="AA199" s="233"/>
    </row>
    <row r="200" spans="4:27" s="139" customFormat="1">
      <c r="D200" s="191"/>
      <c r="N200" s="233"/>
      <c r="O200" s="233"/>
      <c r="P200" s="233"/>
      <c r="Q200" s="233"/>
      <c r="R200" s="303"/>
      <c r="S200" s="233"/>
      <c r="T200" s="233"/>
      <c r="U200" s="233"/>
      <c r="V200" s="233"/>
      <c r="W200" s="233"/>
      <c r="X200" s="233"/>
      <c r="Y200" s="233"/>
      <c r="Z200" s="233"/>
      <c r="AA200" s="233"/>
    </row>
    <row r="201" spans="4:27" s="139" customFormat="1">
      <c r="D201" s="191"/>
      <c r="N201" s="233"/>
      <c r="O201" s="233"/>
      <c r="P201" s="233"/>
      <c r="Q201" s="233"/>
      <c r="R201" s="303"/>
      <c r="S201" s="233"/>
      <c r="T201" s="233"/>
      <c r="U201" s="233"/>
      <c r="V201" s="233"/>
      <c r="W201" s="233"/>
      <c r="X201" s="233"/>
      <c r="Y201" s="233"/>
      <c r="Z201" s="233"/>
      <c r="AA201" s="233"/>
    </row>
    <row r="202" spans="4:27" s="139" customFormat="1">
      <c r="D202" s="191"/>
      <c r="N202" s="233"/>
      <c r="O202" s="233"/>
      <c r="P202" s="233"/>
      <c r="Q202" s="233"/>
      <c r="R202" s="303"/>
      <c r="S202" s="233"/>
      <c r="T202" s="233"/>
      <c r="U202" s="233"/>
      <c r="V202" s="233"/>
      <c r="W202" s="233"/>
      <c r="X202" s="233"/>
      <c r="Y202" s="233"/>
      <c r="Z202" s="233"/>
      <c r="AA202" s="233"/>
    </row>
    <row r="203" spans="4:27" s="139" customFormat="1">
      <c r="D203" s="191"/>
      <c r="N203" s="233"/>
      <c r="O203" s="233"/>
      <c r="P203" s="233"/>
      <c r="Q203" s="233"/>
      <c r="R203" s="303"/>
      <c r="S203" s="233"/>
      <c r="T203" s="233"/>
      <c r="U203" s="233"/>
      <c r="V203" s="233"/>
      <c r="W203" s="233"/>
      <c r="X203" s="233"/>
      <c r="Y203" s="233"/>
      <c r="Z203" s="233"/>
      <c r="AA203" s="233"/>
    </row>
    <row r="204" spans="4:27" s="139" customFormat="1">
      <c r="D204" s="191"/>
      <c r="N204" s="233"/>
      <c r="O204" s="233"/>
      <c r="P204" s="233"/>
      <c r="Q204" s="233"/>
      <c r="R204" s="303"/>
      <c r="S204" s="233"/>
      <c r="T204" s="233"/>
      <c r="U204" s="233"/>
      <c r="V204" s="233"/>
      <c r="W204" s="233"/>
      <c r="X204" s="233"/>
      <c r="Y204" s="233"/>
      <c r="Z204" s="233"/>
      <c r="AA204" s="233"/>
    </row>
    <row r="205" spans="4:27" s="139" customFormat="1">
      <c r="D205" s="191"/>
      <c r="N205" s="233"/>
      <c r="O205" s="233"/>
      <c r="P205" s="233"/>
      <c r="Q205" s="233"/>
      <c r="R205" s="303"/>
      <c r="S205" s="233"/>
      <c r="T205" s="233"/>
      <c r="U205" s="233"/>
      <c r="V205" s="233"/>
      <c r="W205" s="233"/>
      <c r="X205" s="233"/>
      <c r="Y205" s="233"/>
      <c r="Z205" s="233"/>
      <c r="AA205" s="233"/>
    </row>
    <row r="206" spans="4:27" s="139" customFormat="1">
      <c r="D206" s="191"/>
      <c r="N206" s="233"/>
      <c r="O206" s="233"/>
      <c r="P206" s="233"/>
      <c r="Q206" s="233"/>
      <c r="R206" s="303"/>
      <c r="S206" s="233"/>
      <c r="T206" s="233"/>
      <c r="U206" s="233"/>
      <c r="V206" s="233"/>
      <c r="W206" s="233"/>
      <c r="X206" s="233"/>
      <c r="Y206" s="233"/>
      <c r="Z206" s="233"/>
      <c r="AA206" s="233"/>
    </row>
    <row r="207" spans="4:27" s="139" customFormat="1">
      <c r="D207" s="191"/>
      <c r="N207" s="233"/>
      <c r="O207" s="233"/>
      <c r="P207" s="233"/>
      <c r="Q207" s="233"/>
      <c r="R207" s="303"/>
      <c r="S207" s="233"/>
      <c r="T207" s="233"/>
      <c r="U207" s="233"/>
      <c r="V207" s="233"/>
      <c r="W207" s="233"/>
      <c r="X207" s="233"/>
      <c r="Y207" s="233"/>
      <c r="Z207" s="233"/>
      <c r="AA207" s="233"/>
    </row>
    <row r="208" spans="4:27" s="139" customFormat="1">
      <c r="D208" s="191"/>
      <c r="N208" s="233"/>
      <c r="O208" s="233"/>
      <c r="P208" s="233"/>
      <c r="Q208" s="233"/>
      <c r="R208" s="303"/>
      <c r="S208" s="233"/>
      <c r="T208" s="233"/>
      <c r="U208" s="233"/>
      <c r="V208" s="233"/>
      <c r="W208" s="233"/>
      <c r="X208" s="233"/>
      <c r="Y208" s="233"/>
      <c r="Z208" s="233"/>
      <c r="AA208" s="233"/>
    </row>
    <row r="209" spans="4:27" s="139" customFormat="1">
      <c r="D209" s="191"/>
      <c r="N209" s="233"/>
      <c r="O209" s="233"/>
      <c r="P209" s="233"/>
      <c r="Q209" s="233"/>
      <c r="R209" s="303"/>
      <c r="S209" s="233"/>
      <c r="T209" s="233"/>
      <c r="U209" s="233"/>
      <c r="V209" s="233"/>
      <c r="W209" s="233"/>
      <c r="X209" s="233"/>
      <c r="Y209" s="233"/>
      <c r="Z209" s="233"/>
      <c r="AA209" s="233"/>
    </row>
    <row r="210" spans="4:27" s="139" customFormat="1">
      <c r="D210" s="191"/>
      <c r="N210" s="233"/>
      <c r="O210" s="233"/>
      <c r="P210" s="233"/>
      <c r="Q210" s="233"/>
      <c r="R210" s="303"/>
      <c r="S210" s="233"/>
      <c r="T210" s="233"/>
      <c r="U210" s="233"/>
      <c r="V210" s="233"/>
      <c r="W210" s="233"/>
      <c r="X210" s="233"/>
      <c r="Y210" s="233"/>
      <c r="Z210" s="233"/>
      <c r="AA210" s="233"/>
    </row>
    <row r="211" spans="4:27" s="139" customFormat="1">
      <c r="D211" s="191"/>
      <c r="N211" s="233"/>
      <c r="O211" s="233"/>
      <c r="P211" s="233"/>
      <c r="Q211" s="233"/>
      <c r="R211" s="303"/>
      <c r="S211" s="233"/>
      <c r="T211" s="233"/>
      <c r="U211" s="233"/>
      <c r="V211" s="233"/>
      <c r="W211" s="233"/>
      <c r="X211" s="233"/>
      <c r="Y211" s="233"/>
      <c r="Z211" s="233"/>
      <c r="AA211" s="233"/>
    </row>
    <row r="212" spans="4:27" s="139" customFormat="1">
      <c r="D212" s="191"/>
      <c r="N212" s="233"/>
      <c r="O212" s="233"/>
      <c r="P212" s="233"/>
      <c r="Q212" s="233"/>
      <c r="R212" s="303"/>
      <c r="S212" s="233"/>
      <c r="T212" s="233"/>
      <c r="U212" s="233"/>
      <c r="V212" s="233"/>
      <c r="W212" s="233"/>
      <c r="X212" s="233"/>
      <c r="Y212" s="233"/>
      <c r="Z212" s="233"/>
      <c r="AA212" s="233"/>
    </row>
    <row r="213" spans="4:27" s="139" customFormat="1">
      <c r="D213" s="191"/>
      <c r="N213" s="233"/>
      <c r="O213" s="233"/>
      <c r="P213" s="233"/>
      <c r="Q213" s="233"/>
      <c r="R213" s="303"/>
      <c r="S213" s="233"/>
      <c r="T213" s="233"/>
      <c r="U213" s="233"/>
      <c r="V213" s="233"/>
      <c r="W213" s="233"/>
      <c r="X213" s="233"/>
      <c r="Y213" s="233"/>
      <c r="Z213" s="233"/>
      <c r="AA213" s="233"/>
    </row>
    <row r="214" spans="4:27" s="139" customFormat="1">
      <c r="D214" s="191"/>
      <c r="N214" s="233"/>
      <c r="O214" s="233"/>
      <c r="P214" s="233"/>
      <c r="Q214" s="233"/>
      <c r="R214" s="303"/>
      <c r="S214" s="233"/>
      <c r="T214" s="233"/>
      <c r="U214" s="233"/>
      <c r="V214" s="233"/>
      <c r="W214" s="233"/>
      <c r="X214" s="233"/>
      <c r="Y214" s="233"/>
      <c r="Z214" s="233"/>
      <c r="AA214" s="233"/>
    </row>
    <row r="215" spans="4:27" s="139" customFormat="1">
      <c r="D215" s="191"/>
      <c r="N215" s="233"/>
      <c r="O215" s="233"/>
      <c r="P215" s="233"/>
      <c r="Q215" s="233"/>
      <c r="R215" s="303"/>
      <c r="S215" s="233"/>
      <c r="T215" s="233"/>
      <c r="U215" s="233"/>
      <c r="V215" s="233"/>
      <c r="W215" s="233"/>
      <c r="X215" s="233"/>
      <c r="Y215" s="233"/>
      <c r="Z215" s="233"/>
      <c r="AA215" s="233"/>
    </row>
    <row r="216" spans="4:27" s="139" customFormat="1">
      <c r="D216" s="191"/>
      <c r="N216" s="233"/>
      <c r="O216" s="233"/>
      <c r="P216" s="233"/>
      <c r="Q216" s="233"/>
      <c r="R216" s="303"/>
      <c r="S216" s="233"/>
      <c r="T216" s="233"/>
      <c r="U216" s="233"/>
      <c r="V216" s="233"/>
      <c r="W216" s="233"/>
      <c r="X216" s="233"/>
      <c r="Y216" s="233"/>
      <c r="Z216" s="233"/>
      <c r="AA216" s="233"/>
    </row>
    <row r="217" spans="4:27" s="139" customFormat="1">
      <c r="D217" s="191"/>
      <c r="N217" s="233"/>
      <c r="O217" s="233"/>
      <c r="P217" s="233"/>
      <c r="Q217" s="233"/>
      <c r="R217" s="303"/>
      <c r="S217" s="233"/>
      <c r="T217" s="233"/>
      <c r="U217" s="233"/>
      <c r="V217" s="233"/>
      <c r="W217" s="233"/>
      <c r="X217" s="233"/>
      <c r="Y217" s="233"/>
      <c r="Z217" s="233"/>
      <c r="AA217" s="233"/>
    </row>
    <row r="218" spans="4:27" s="139" customFormat="1">
      <c r="D218" s="191"/>
      <c r="N218" s="233"/>
      <c r="O218" s="233"/>
      <c r="P218" s="233"/>
      <c r="Q218" s="233"/>
      <c r="R218" s="303"/>
      <c r="S218" s="233"/>
      <c r="T218" s="233"/>
      <c r="U218" s="233"/>
      <c r="V218" s="233"/>
      <c r="W218" s="233"/>
      <c r="X218" s="233"/>
      <c r="Y218" s="233"/>
      <c r="Z218" s="233"/>
      <c r="AA218" s="233"/>
    </row>
    <row r="219" spans="4:27" s="139" customFormat="1">
      <c r="D219" s="191"/>
      <c r="N219" s="233"/>
      <c r="O219" s="233"/>
      <c r="P219" s="233"/>
      <c r="Q219" s="233"/>
      <c r="R219" s="303"/>
      <c r="S219" s="233"/>
      <c r="T219" s="233"/>
      <c r="U219" s="233"/>
      <c r="V219" s="233"/>
      <c r="W219" s="233"/>
      <c r="X219" s="233"/>
      <c r="Y219" s="233"/>
      <c r="Z219" s="233"/>
      <c r="AA219" s="233"/>
    </row>
    <row r="220" spans="4:27" s="139" customFormat="1">
      <c r="D220" s="191"/>
      <c r="N220" s="233"/>
      <c r="O220" s="233"/>
      <c r="P220" s="233"/>
      <c r="Q220" s="233"/>
      <c r="R220" s="303"/>
      <c r="S220" s="233"/>
      <c r="T220" s="233"/>
      <c r="U220" s="233"/>
      <c r="V220" s="233"/>
      <c r="W220" s="233"/>
      <c r="X220" s="233"/>
      <c r="Y220" s="233"/>
      <c r="Z220" s="233"/>
      <c r="AA220" s="233"/>
    </row>
    <row r="221" spans="4:27" s="139" customFormat="1">
      <c r="D221" s="191"/>
      <c r="N221" s="233"/>
      <c r="O221" s="233"/>
      <c r="P221" s="233"/>
      <c r="Q221" s="233"/>
      <c r="R221" s="303"/>
      <c r="S221" s="233"/>
      <c r="T221" s="233"/>
      <c r="U221" s="233"/>
      <c r="V221" s="233"/>
      <c r="W221" s="233"/>
      <c r="X221" s="233"/>
      <c r="Y221" s="233"/>
      <c r="Z221" s="233"/>
      <c r="AA221" s="233"/>
    </row>
    <row r="222" spans="4:27" s="139" customFormat="1">
      <c r="D222" s="191"/>
      <c r="N222" s="233"/>
      <c r="O222" s="233"/>
      <c r="P222" s="233"/>
      <c r="Q222" s="233"/>
      <c r="R222" s="303"/>
      <c r="S222" s="233"/>
      <c r="T222" s="233"/>
      <c r="U222" s="233"/>
      <c r="V222" s="233"/>
      <c r="W222" s="233"/>
      <c r="X222" s="233"/>
      <c r="Y222" s="233"/>
      <c r="Z222" s="233"/>
      <c r="AA222" s="233"/>
    </row>
    <row r="223" spans="4:27" s="139" customFormat="1">
      <c r="D223" s="191"/>
      <c r="N223" s="233"/>
      <c r="O223" s="233"/>
      <c r="P223" s="233"/>
      <c r="Q223" s="233"/>
      <c r="R223" s="303"/>
      <c r="S223" s="233"/>
      <c r="T223" s="233"/>
      <c r="U223" s="233"/>
      <c r="V223" s="233"/>
      <c r="W223" s="233"/>
      <c r="X223" s="233"/>
      <c r="Y223" s="233"/>
      <c r="Z223" s="233"/>
      <c r="AA223" s="233"/>
    </row>
    <row r="224" spans="4:27" s="139" customFormat="1">
      <c r="D224" s="191"/>
      <c r="N224" s="233"/>
      <c r="O224" s="233"/>
      <c r="P224" s="233"/>
      <c r="Q224" s="233"/>
      <c r="R224" s="303"/>
      <c r="S224" s="233"/>
      <c r="T224" s="233"/>
      <c r="U224" s="233"/>
      <c r="V224" s="233"/>
      <c r="W224" s="233"/>
      <c r="X224" s="233"/>
      <c r="Y224" s="233"/>
      <c r="Z224" s="233"/>
      <c r="AA224" s="233"/>
    </row>
    <row r="225" spans="4:27" s="139" customFormat="1">
      <c r="D225" s="191"/>
      <c r="N225" s="233"/>
      <c r="O225" s="233"/>
      <c r="P225" s="233"/>
      <c r="Q225" s="233"/>
      <c r="R225" s="303"/>
      <c r="S225" s="233"/>
      <c r="T225" s="233"/>
      <c r="U225" s="233"/>
      <c r="V225" s="233"/>
      <c r="W225" s="233"/>
      <c r="X225" s="233"/>
      <c r="Y225" s="233"/>
      <c r="Z225" s="233"/>
      <c r="AA225" s="233"/>
    </row>
    <row r="226" spans="4:27" s="139" customFormat="1">
      <c r="D226" s="191"/>
      <c r="N226" s="233"/>
      <c r="O226" s="233"/>
      <c r="P226" s="233"/>
      <c r="Q226" s="233"/>
      <c r="R226" s="303"/>
      <c r="S226" s="233"/>
      <c r="T226" s="233"/>
      <c r="U226" s="233"/>
      <c r="V226" s="233"/>
      <c r="W226" s="233"/>
      <c r="X226" s="233"/>
      <c r="Y226" s="233"/>
      <c r="Z226" s="233"/>
      <c r="AA226" s="233"/>
    </row>
    <row r="227" spans="4:27" s="139" customFormat="1">
      <c r="D227" s="191"/>
      <c r="N227" s="233"/>
      <c r="O227" s="233"/>
      <c r="P227" s="233"/>
      <c r="Q227" s="233"/>
      <c r="R227" s="303"/>
      <c r="S227" s="233"/>
      <c r="T227" s="233"/>
      <c r="U227" s="233"/>
      <c r="V227" s="233"/>
      <c r="W227" s="233"/>
      <c r="X227" s="233"/>
      <c r="Y227" s="233"/>
      <c r="Z227" s="233"/>
      <c r="AA227" s="233"/>
    </row>
    <row r="228" spans="4:27" s="139" customFormat="1">
      <c r="D228" s="191"/>
      <c r="N228" s="233"/>
      <c r="O228" s="233"/>
      <c r="P228" s="233"/>
      <c r="Q228" s="233"/>
      <c r="R228" s="303"/>
      <c r="S228" s="233"/>
      <c r="T228" s="233"/>
      <c r="U228" s="233"/>
      <c r="V228" s="233"/>
      <c r="W228" s="233"/>
      <c r="X228" s="233"/>
      <c r="Y228" s="233"/>
      <c r="Z228" s="233"/>
      <c r="AA228" s="233"/>
    </row>
    <row r="229" spans="4:27" s="139" customFormat="1">
      <c r="D229" s="191"/>
      <c r="N229" s="233"/>
      <c r="O229" s="233"/>
      <c r="P229" s="233"/>
      <c r="Q229" s="233"/>
      <c r="R229" s="303"/>
      <c r="S229" s="233"/>
      <c r="T229" s="233"/>
      <c r="U229" s="233"/>
      <c r="V229" s="233"/>
      <c r="W229" s="233"/>
      <c r="X229" s="233"/>
      <c r="Y229" s="233"/>
      <c r="Z229" s="233"/>
      <c r="AA229" s="233"/>
    </row>
    <row r="230" spans="4:27" s="139" customFormat="1">
      <c r="D230" s="191"/>
      <c r="N230" s="233"/>
      <c r="O230" s="233"/>
      <c r="P230" s="233"/>
      <c r="Q230" s="233"/>
      <c r="R230" s="303"/>
      <c r="S230" s="233"/>
      <c r="T230" s="233"/>
      <c r="U230" s="233"/>
      <c r="V230" s="233"/>
      <c r="W230" s="233"/>
      <c r="X230" s="233"/>
      <c r="Y230" s="233"/>
      <c r="Z230" s="233"/>
      <c r="AA230" s="233"/>
    </row>
    <row r="231" spans="4:27" s="139" customFormat="1">
      <c r="D231" s="191"/>
      <c r="N231" s="233"/>
      <c r="O231" s="233"/>
      <c r="P231" s="233"/>
      <c r="Q231" s="233"/>
      <c r="R231" s="303"/>
      <c r="S231" s="233"/>
      <c r="T231" s="233"/>
      <c r="U231" s="233"/>
      <c r="V231" s="233"/>
      <c r="W231" s="233"/>
      <c r="X231" s="233"/>
      <c r="Y231" s="233"/>
      <c r="Z231" s="233"/>
      <c r="AA231" s="233"/>
    </row>
    <row r="232" spans="4:27" s="139" customFormat="1">
      <c r="D232" s="191"/>
      <c r="N232" s="233"/>
      <c r="O232" s="233"/>
      <c r="P232" s="233"/>
      <c r="Q232" s="233"/>
      <c r="R232" s="303"/>
      <c r="S232" s="233"/>
      <c r="T232" s="233"/>
      <c r="U232" s="233"/>
      <c r="V232" s="233"/>
      <c r="W232" s="233"/>
      <c r="X232" s="233"/>
      <c r="Y232" s="233"/>
      <c r="Z232" s="233"/>
      <c r="AA232" s="233"/>
    </row>
    <row r="233" spans="4:27" s="139" customFormat="1">
      <c r="D233" s="191"/>
      <c r="N233" s="233"/>
      <c r="O233" s="233"/>
      <c r="P233" s="233"/>
      <c r="Q233" s="233"/>
      <c r="R233" s="303"/>
      <c r="S233" s="233"/>
      <c r="T233" s="233"/>
      <c r="U233" s="233"/>
      <c r="V233" s="233"/>
      <c r="W233" s="233"/>
      <c r="X233" s="233"/>
      <c r="Y233" s="233"/>
      <c r="Z233" s="233"/>
      <c r="AA233" s="233"/>
    </row>
    <row r="234" spans="4:27" s="139" customFormat="1">
      <c r="D234" s="191"/>
      <c r="N234" s="233"/>
      <c r="O234" s="233"/>
      <c r="P234" s="233"/>
      <c r="Q234" s="233"/>
      <c r="R234" s="303"/>
      <c r="S234" s="233"/>
      <c r="T234" s="233"/>
      <c r="U234" s="233"/>
      <c r="V234" s="233"/>
      <c r="W234" s="233"/>
      <c r="X234" s="233"/>
      <c r="Y234" s="233"/>
      <c r="Z234" s="233"/>
      <c r="AA234" s="233"/>
    </row>
    <row r="235" spans="4:27" s="139" customFormat="1">
      <c r="D235" s="191"/>
      <c r="N235" s="233"/>
      <c r="O235" s="233"/>
      <c r="P235" s="233"/>
      <c r="Q235" s="233"/>
      <c r="R235" s="303"/>
      <c r="S235" s="233"/>
      <c r="T235" s="233"/>
      <c r="U235" s="233"/>
      <c r="V235" s="233"/>
      <c r="W235" s="233"/>
      <c r="X235" s="233"/>
      <c r="Y235" s="233"/>
      <c r="Z235" s="233"/>
      <c r="AA235" s="233"/>
    </row>
    <row r="236" spans="4:27" s="139" customFormat="1">
      <c r="D236" s="191"/>
      <c r="N236" s="233"/>
      <c r="O236" s="233"/>
      <c r="P236" s="233"/>
      <c r="Q236" s="233"/>
      <c r="R236" s="303"/>
      <c r="S236" s="233"/>
      <c r="T236" s="233"/>
      <c r="U236" s="233"/>
      <c r="V236" s="233"/>
      <c r="W236" s="233"/>
      <c r="X236" s="233"/>
      <c r="Y236" s="233"/>
      <c r="Z236" s="233"/>
      <c r="AA236" s="233"/>
    </row>
    <row r="237" spans="4:27" s="139" customFormat="1">
      <c r="D237" s="191"/>
      <c r="N237" s="233"/>
      <c r="O237" s="233"/>
      <c r="P237" s="233"/>
      <c r="Q237" s="233"/>
      <c r="R237" s="303"/>
      <c r="S237" s="233"/>
      <c r="T237" s="233"/>
      <c r="U237" s="233"/>
      <c r="V237" s="233"/>
      <c r="W237" s="233"/>
      <c r="X237" s="233"/>
      <c r="Y237" s="233"/>
      <c r="Z237" s="233"/>
      <c r="AA237" s="233"/>
    </row>
    <row r="238" spans="4:27" s="139" customFormat="1">
      <c r="D238" s="191"/>
      <c r="N238" s="233"/>
      <c r="O238" s="233"/>
      <c r="P238" s="233"/>
      <c r="Q238" s="233"/>
      <c r="R238" s="303"/>
      <c r="S238" s="233"/>
      <c r="T238" s="233"/>
      <c r="U238" s="233"/>
      <c r="V238" s="233"/>
      <c r="W238" s="233"/>
      <c r="X238" s="233"/>
      <c r="Y238" s="233"/>
      <c r="Z238" s="233"/>
      <c r="AA238" s="233"/>
    </row>
    <row r="239" spans="4:27" s="139" customFormat="1">
      <c r="D239" s="191"/>
      <c r="N239" s="233"/>
      <c r="O239" s="233"/>
      <c r="P239" s="233"/>
      <c r="Q239" s="233"/>
      <c r="R239" s="303"/>
      <c r="S239" s="233"/>
      <c r="T239" s="233"/>
      <c r="U239" s="233"/>
      <c r="V239" s="233"/>
      <c r="W239" s="233"/>
      <c r="X239" s="233"/>
      <c r="Y239" s="233"/>
      <c r="Z239" s="233"/>
      <c r="AA239" s="233"/>
    </row>
    <row r="240" spans="4:27" s="139" customFormat="1">
      <c r="D240" s="191"/>
      <c r="N240" s="233"/>
      <c r="O240" s="233"/>
      <c r="P240" s="233"/>
      <c r="Q240" s="233"/>
      <c r="R240" s="303"/>
      <c r="S240" s="233"/>
      <c r="T240" s="233"/>
      <c r="U240" s="233"/>
      <c r="V240" s="233"/>
      <c r="W240" s="233"/>
      <c r="X240" s="233"/>
      <c r="Y240" s="233"/>
      <c r="Z240" s="233"/>
      <c r="AA240" s="233"/>
    </row>
    <row r="241" spans="4:27" s="139" customFormat="1">
      <c r="D241" s="191"/>
      <c r="N241" s="233"/>
      <c r="O241" s="233"/>
      <c r="P241" s="233"/>
      <c r="Q241" s="233"/>
      <c r="R241" s="303"/>
      <c r="S241" s="233"/>
      <c r="T241" s="233"/>
      <c r="U241" s="233"/>
      <c r="V241" s="233"/>
      <c r="W241" s="233"/>
      <c r="X241" s="233"/>
      <c r="Y241" s="233"/>
      <c r="Z241" s="233"/>
      <c r="AA241" s="233"/>
    </row>
    <row r="242" spans="4:27" s="139" customFormat="1">
      <c r="D242" s="191"/>
      <c r="N242" s="233"/>
      <c r="O242" s="233"/>
      <c r="P242" s="233"/>
      <c r="Q242" s="233"/>
      <c r="R242" s="303"/>
      <c r="S242" s="233"/>
      <c r="T242" s="233"/>
      <c r="U242" s="233"/>
      <c r="V242" s="233"/>
      <c r="W242" s="233"/>
      <c r="X242" s="233"/>
      <c r="Y242" s="233"/>
      <c r="Z242" s="233"/>
      <c r="AA242" s="233"/>
    </row>
    <row r="243" spans="4:27" s="139" customFormat="1">
      <c r="D243" s="191"/>
      <c r="N243" s="233"/>
      <c r="O243" s="233"/>
      <c r="P243" s="233"/>
      <c r="Q243" s="233"/>
      <c r="R243" s="303"/>
      <c r="S243" s="233"/>
      <c r="T243" s="233"/>
      <c r="U243" s="233"/>
      <c r="V243" s="233"/>
      <c r="W243" s="233"/>
      <c r="X243" s="233"/>
      <c r="Y243" s="233"/>
      <c r="Z243" s="233"/>
      <c r="AA243" s="233"/>
    </row>
    <row r="244" spans="4:27" s="139" customFormat="1">
      <c r="D244" s="191"/>
      <c r="N244" s="233"/>
      <c r="O244" s="233"/>
      <c r="P244" s="233"/>
      <c r="Q244" s="233"/>
      <c r="R244" s="303"/>
      <c r="S244" s="233"/>
      <c r="T244" s="233"/>
      <c r="U244" s="233"/>
      <c r="V244" s="233"/>
      <c r="W244" s="233"/>
      <c r="X244" s="233"/>
      <c r="Y244" s="233"/>
      <c r="Z244" s="233"/>
      <c r="AA244" s="233"/>
    </row>
    <row r="245" spans="4:27" s="139" customFormat="1">
      <c r="D245" s="191"/>
      <c r="N245" s="233"/>
      <c r="O245" s="233"/>
      <c r="P245" s="233"/>
      <c r="Q245" s="233"/>
      <c r="R245" s="303"/>
      <c r="S245" s="233"/>
      <c r="T245" s="233"/>
      <c r="U245" s="233"/>
      <c r="V245" s="233"/>
      <c r="W245" s="233"/>
      <c r="X245" s="233"/>
      <c r="Y245" s="233"/>
      <c r="Z245" s="233"/>
      <c r="AA245" s="233"/>
    </row>
    <row r="246" spans="4:27" s="139" customFormat="1">
      <c r="D246" s="191"/>
      <c r="N246" s="233"/>
      <c r="O246" s="233"/>
      <c r="P246" s="233"/>
      <c r="Q246" s="233"/>
      <c r="R246" s="303"/>
      <c r="S246" s="233"/>
      <c r="T246" s="233"/>
      <c r="U246" s="233"/>
      <c r="V246" s="233"/>
      <c r="W246" s="233"/>
      <c r="X246" s="233"/>
      <c r="Y246" s="233"/>
      <c r="Z246" s="233"/>
      <c r="AA246" s="233"/>
    </row>
    <row r="247" spans="4:27" s="139" customFormat="1">
      <c r="D247" s="191"/>
      <c r="N247" s="233"/>
      <c r="O247" s="233"/>
      <c r="P247" s="233"/>
      <c r="Q247" s="233"/>
      <c r="R247" s="303"/>
      <c r="S247" s="233"/>
      <c r="T247" s="233"/>
      <c r="U247" s="233"/>
      <c r="V247" s="233"/>
      <c r="W247" s="233"/>
      <c r="X247" s="233"/>
      <c r="Y247" s="233"/>
      <c r="Z247" s="233"/>
      <c r="AA247" s="233"/>
    </row>
    <row r="248" spans="4:27" s="139" customFormat="1">
      <c r="D248" s="191"/>
      <c r="N248" s="233"/>
      <c r="O248" s="233"/>
      <c r="P248" s="233"/>
      <c r="Q248" s="233"/>
      <c r="R248" s="303"/>
      <c r="S248" s="233"/>
      <c r="T248" s="233"/>
      <c r="U248" s="233"/>
      <c r="V248" s="233"/>
      <c r="W248" s="233"/>
      <c r="X248" s="233"/>
      <c r="Y248" s="233"/>
      <c r="Z248" s="233"/>
      <c r="AA248" s="233"/>
    </row>
    <row r="249" spans="4:27" s="139" customFormat="1">
      <c r="D249" s="191"/>
      <c r="N249" s="233"/>
      <c r="O249" s="233"/>
      <c r="P249" s="233"/>
      <c r="Q249" s="233"/>
      <c r="R249" s="303"/>
      <c r="S249" s="233"/>
      <c r="T249" s="233"/>
      <c r="U249" s="233"/>
      <c r="V249" s="233"/>
      <c r="W249" s="233"/>
      <c r="X249" s="233"/>
      <c r="Y249" s="233"/>
      <c r="Z249" s="233"/>
      <c r="AA249" s="233"/>
    </row>
    <row r="250" spans="4:27" s="139" customFormat="1">
      <c r="D250" s="191"/>
      <c r="N250" s="233"/>
      <c r="O250" s="233"/>
      <c r="P250" s="233"/>
      <c r="Q250" s="233"/>
      <c r="R250" s="303"/>
      <c r="S250" s="233"/>
      <c r="T250" s="233"/>
      <c r="U250" s="233"/>
      <c r="V250" s="233"/>
      <c r="W250" s="233"/>
      <c r="X250" s="233"/>
      <c r="Y250" s="233"/>
      <c r="Z250" s="233"/>
      <c r="AA250" s="233"/>
    </row>
    <row r="251" spans="4:27" s="139" customFormat="1">
      <c r="D251" s="191"/>
      <c r="N251" s="233"/>
      <c r="O251" s="233"/>
      <c r="P251" s="233"/>
      <c r="Q251" s="233"/>
      <c r="R251" s="303"/>
      <c r="S251" s="233"/>
      <c r="T251" s="233"/>
      <c r="U251" s="233"/>
      <c r="V251" s="233"/>
      <c r="W251" s="233"/>
      <c r="X251" s="233"/>
      <c r="Y251" s="233"/>
      <c r="Z251" s="233"/>
      <c r="AA251" s="233"/>
    </row>
    <row r="252" spans="4:27" s="139" customFormat="1">
      <c r="D252" s="191"/>
      <c r="N252" s="233"/>
      <c r="O252" s="233"/>
      <c r="P252" s="233"/>
      <c r="Q252" s="233"/>
      <c r="R252" s="303"/>
      <c r="S252" s="233"/>
      <c r="T252" s="233"/>
      <c r="U252" s="233"/>
      <c r="V252" s="233"/>
      <c r="W252" s="233"/>
      <c r="X252" s="233"/>
      <c r="Y252" s="233"/>
      <c r="Z252" s="233"/>
      <c r="AA252" s="233"/>
    </row>
    <row r="253" spans="4:27" s="139" customFormat="1">
      <c r="D253" s="191"/>
      <c r="N253" s="233"/>
      <c r="O253" s="233"/>
      <c r="P253" s="233"/>
      <c r="Q253" s="233"/>
      <c r="R253" s="303"/>
      <c r="S253" s="233"/>
      <c r="T253" s="233"/>
      <c r="U253" s="233"/>
      <c r="V253" s="233"/>
      <c r="W253" s="233"/>
      <c r="X253" s="233"/>
      <c r="Y253" s="233"/>
      <c r="Z253" s="233"/>
      <c r="AA253" s="233"/>
    </row>
    <row r="254" spans="4:27" s="139" customFormat="1">
      <c r="D254" s="191"/>
      <c r="N254" s="233"/>
      <c r="O254" s="233"/>
      <c r="P254" s="233"/>
      <c r="Q254" s="233"/>
      <c r="R254" s="303"/>
      <c r="S254" s="233"/>
      <c r="T254" s="233"/>
      <c r="U254" s="233"/>
      <c r="V254" s="233"/>
      <c r="W254" s="233"/>
      <c r="X254" s="233"/>
      <c r="Y254" s="233"/>
      <c r="Z254" s="233"/>
      <c r="AA254" s="233"/>
    </row>
    <row r="255" spans="4:27" s="139" customFormat="1">
      <c r="D255" s="191"/>
      <c r="N255" s="233"/>
      <c r="O255" s="233"/>
      <c r="P255" s="233"/>
      <c r="Q255" s="233"/>
      <c r="R255" s="303"/>
      <c r="S255" s="233"/>
      <c r="T255" s="233"/>
      <c r="U255" s="233"/>
      <c r="V255" s="233"/>
      <c r="W255" s="233"/>
      <c r="X255" s="233"/>
      <c r="Y255" s="233"/>
      <c r="Z255" s="233"/>
      <c r="AA255" s="233"/>
    </row>
    <row r="256" spans="4:27" s="139" customFormat="1">
      <c r="D256" s="191"/>
      <c r="N256" s="233"/>
      <c r="O256" s="233"/>
      <c r="P256" s="233"/>
      <c r="Q256" s="233"/>
      <c r="R256" s="303"/>
      <c r="S256" s="233"/>
      <c r="T256" s="233"/>
      <c r="U256" s="233"/>
      <c r="V256" s="233"/>
      <c r="W256" s="233"/>
      <c r="X256" s="233"/>
      <c r="Y256" s="233"/>
      <c r="Z256" s="233"/>
      <c r="AA256" s="233"/>
    </row>
    <row r="257" spans="4:27" s="139" customFormat="1">
      <c r="D257" s="191"/>
      <c r="N257" s="233"/>
      <c r="O257" s="233"/>
      <c r="P257" s="233"/>
      <c r="Q257" s="233"/>
      <c r="R257" s="303"/>
      <c r="S257" s="233"/>
      <c r="T257" s="233"/>
      <c r="U257" s="233"/>
      <c r="V257" s="233"/>
      <c r="W257" s="233"/>
      <c r="X257" s="233"/>
      <c r="Y257" s="233"/>
      <c r="Z257" s="233"/>
      <c r="AA257" s="233"/>
    </row>
    <row r="258" spans="4:27" s="139" customFormat="1">
      <c r="D258" s="191"/>
      <c r="N258" s="233"/>
      <c r="O258" s="233"/>
      <c r="P258" s="233"/>
      <c r="Q258" s="233"/>
      <c r="R258" s="303"/>
      <c r="S258" s="233"/>
      <c r="T258" s="233"/>
      <c r="U258" s="233"/>
      <c r="V258" s="233"/>
      <c r="W258" s="233"/>
      <c r="X258" s="233"/>
      <c r="Y258" s="233"/>
      <c r="Z258" s="233"/>
      <c r="AA258" s="233"/>
    </row>
    <row r="259" spans="4:27" s="139" customFormat="1">
      <c r="D259" s="191"/>
      <c r="N259" s="233"/>
      <c r="O259" s="233"/>
      <c r="P259" s="233"/>
      <c r="Q259" s="233"/>
      <c r="R259" s="303"/>
      <c r="S259" s="233"/>
      <c r="T259" s="233"/>
      <c r="U259" s="233"/>
      <c r="V259" s="233"/>
      <c r="W259" s="233"/>
      <c r="X259" s="233"/>
      <c r="Y259" s="233"/>
      <c r="Z259" s="233"/>
      <c r="AA259" s="233"/>
    </row>
    <row r="260" spans="4:27" s="139" customFormat="1">
      <c r="D260" s="191"/>
      <c r="N260" s="233"/>
      <c r="O260" s="233"/>
      <c r="P260" s="233"/>
      <c r="Q260" s="233"/>
      <c r="R260" s="303"/>
      <c r="S260" s="233"/>
      <c r="T260" s="233"/>
      <c r="U260" s="233"/>
      <c r="V260" s="233"/>
      <c r="W260" s="233"/>
      <c r="X260" s="233"/>
      <c r="Y260" s="233"/>
      <c r="Z260" s="233"/>
      <c r="AA260" s="233"/>
    </row>
    <row r="261" spans="4:27" s="139" customFormat="1">
      <c r="D261" s="191"/>
      <c r="N261" s="233"/>
      <c r="O261" s="233"/>
      <c r="P261" s="233"/>
      <c r="Q261" s="233"/>
      <c r="R261" s="303"/>
      <c r="S261" s="233"/>
      <c r="T261" s="233"/>
      <c r="U261" s="233"/>
      <c r="V261" s="233"/>
      <c r="W261" s="233"/>
      <c r="X261" s="233"/>
      <c r="Y261" s="233"/>
      <c r="Z261" s="233"/>
      <c r="AA261" s="233"/>
    </row>
    <row r="262" spans="4:27" s="139" customFormat="1">
      <c r="D262" s="191"/>
      <c r="N262" s="233"/>
      <c r="O262" s="233"/>
      <c r="P262" s="233"/>
      <c r="Q262" s="233"/>
      <c r="R262" s="303"/>
      <c r="S262" s="233"/>
      <c r="T262" s="233"/>
      <c r="U262" s="233"/>
      <c r="V262" s="233"/>
      <c r="W262" s="233"/>
      <c r="X262" s="233"/>
      <c r="Y262" s="233"/>
      <c r="Z262" s="233"/>
      <c r="AA262" s="233"/>
    </row>
    <row r="263" spans="4:27" s="139" customFormat="1">
      <c r="D263" s="191"/>
      <c r="N263" s="233"/>
      <c r="O263" s="233"/>
      <c r="P263" s="233"/>
      <c r="Q263" s="233"/>
      <c r="R263" s="303"/>
      <c r="S263" s="233"/>
      <c r="T263" s="233"/>
      <c r="U263" s="233"/>
      <c r="V263" s="233"/>
      <c r="W263" s="233"/>
      <c r="X263" s="233"/>
      <c r="Y263" s="233"/>
      <c r="Z263" s="233"/>
      <c r="AA263" s="233"/>
    </row>
    <row r="264" spans="4:27" s="139" customFormat="1">
      <c r="D264" s="191"/>
      <c r="N264" s="233"/>
      <c r="O264" s="233"/>
      <c r="P264" s="233"/>
      <c r="Q264" s="233"/>
      <c r="R264" s="303"/>
      <c r="S264" s="233"/>
      <c r="T264" s="233"/>
      <c r="U264" s="233"/>
      <c r="V264" s="233"/>
      <c r="W264" s="233"/>
      <c r="X264" s="233"/>
      <c r="Y264" s="233"/>
      <c r="Z264" s="233"/>
      <c r="AA264" s="233"/>
    </row>
    <row r="265" spans="4:27" s="139" customFormat="1">
      <c r="D265" s="191"/>
      <c r="N265" s="233"/>
      <c r="O265" s="233"/>
      <c r="P265" s="233"/>
      <c r="Q265" s="233"/>
      <c r="R265" s="303"/>
      <c r="S265" s="233"/>
      <c r="T265" s="233"/>
      <c r="U265" s="233"/>
      <c r="V265" s="233"/>
      <c r="W265" s="233"/>
      <c r="X265" s="233"/>
      <c r="Y265" s="233"/>
      <c r="Z265" s="233"/>
      <c r="AA265" s="233"/>
    </row>
    <row r="266" spans="4:27" s="139" customFormat="1">
      <c r="D266" s="191"/>
      <c r="N266" s="233"/>
      <c r="O266" s="233"/>
      <c r="P266" s="233"/>
      <c r="Q266" s="233"/>
      <c r="R266" s="303"/>
      <c r="S266" s="233"/>
      <c r="T266" s="233"/>
      <c r="U266" s="233"/>
      <c r="V266" s="233"/>
      <c r="W266" s="233"/>
      <c r="X266" s="233"/>
      <c r="Y266" s="233"/>
      <c r="Z266" s="233"/>
      <c r="AA266" s="233"/>
    </row>
    <row r="267" spans="4:27" s="139" customFormat="1">
      <c r="D267" s="191"/>
      <c r="N267" s="233"/>
      <c r="O267" s="233"/>
      <c r="P267" s="233"/>
      <c r="Q267" s="233"/>
      <c r="R267" s="303"/>
      <c r="S267" s="233"/>
      <c r="T267" s="233"/>
      <c r="U267" s="233"/>
      <c r="V267" s="233"/>
      <c r="W267" s="233"/>
      <c r="X267" s="233"/>
      <c r="Y267" s="233"/>
      <c r="Z267" s="233"/>
      <c r="AA267" s="233"/>
    </row>
    <row r="268" spans="4:27" s="139" customFormat="1">
      <c r="D268" s="191"/>
      <c r="N268" s="233"/>
      <c r="O268" s="233"/>
      <c r="P268" s="233"/>
      <c r="Q268" s="233"/>
      <c r="R268" s="303"/>
      <c r="S268" s="233"/>
      <c r="T268" s="233"/>
      <c r="U268" s="233"/>
      <c r="V268" s="233"/>
      <c r="W268" s="233"/>
      <c r="X268" s="233"/>
      <c r="Y268" s="233"/>
      <c r="Z268" s="233"/>
      <c r="AA268" s="233"/>
    </row>
    <row r="269" spans="4:27" s="139" customFormat="1">
      <c r="D269" s="191"/>
      <c r="N269" s="233"/>
      <c r="O269" s="233"/>
      <c r="P269" s="233"/>
      <c r="Q269" s="233"/>
      <c r="R269" s="303"/>
      <c r="S269" s="233"/>
      <c r="T269" s="233"/>
      <c r="U269" s="233"/>
      <c r="V269" s="233"/>
      <c r="W269" s="233"/>
      <c r="X269" s="233"/>
      <c r="Y269" s="233"/>
      <c r="Z269" s="233"/>
      <c r="AA269" s="233"/>
    </row>
    <row r="270" spans="4:27" s="139" customFormat="1">
      <c r="D270" s="191"/>
      <c r="N270" s="233"/>
      <c r="O270" s="233"/>
      <c r="P270" s="233"/>
      <c r="Q270" s="233"/>
      <c r="R270" s="303"/>
      <c r="S270" s="233"/>
      <c r="T270" s="233"/>
      <c r="U270" s="233"/>
      <c r="V270" s="233"/>
      <c r="W270" s="233"/>
      <c r="X270" s="233"/>
      <c r="Y270" s="233"/>
      <c r="Z270" s="233"/>
      <c r="AA270" s="233"/>
    </row>
    <row r="271" spans="4:27" s="139" customFormat="1">
      <c r="D271" s="191"/>
      <c r="N271" s="233"/>
      <c r="O271" s="233"/>
      <c r="P271" s="233"/>
      <c r="Q271" s="233"/>
      <c r="R271" s="303"/>
      <c r="S271" s="233"/>
      <c r="T271" s="233"/>
      <c r="U271" s="233"/>
      <c r="V271" s="233"/>
      <c r="W271" s="233"/>
      <c r="X271" s="233"/>
      <c r="Y271" s="233"/>
      <c r="Z271" s="233"/>
      <c r="AA271" s="233"/>
    </row>
    <row r="272" spans="4:27" s="139" customFormat="1">
      <c r="D272" s="191"/>
      <c r="N272" s="233"/>
      <c r="O272" s="233"/>
      <c r="P272" s="233"/>
      <c r="Q272" s="233"/>
      <c r="R272" s="303"/>
      <c r="S272" s="233"/>
      <c r="T272" s="233"/>
      <c r="U272" s="233"/>
      <c r="V272" s="233"/>
      <c r="W272" s="233"/>
      <c r="X272" s="233"/>
      <c r="Y272" s="233"/>
      <c r="Z272" s="233"/>
      <c r="AA272" s="233"/>
    </row>
    <row r="273" spans="4:27" s="139" customFormat="1">
      <c r="D273" s="191"/>
      <c r="N273" s="233"/>
      <c r="O273" s="233"/>
      <c r="P273" s="233"/>
      <c r="Q273" s="233"/>
      <c r="R273" s="303"/>
      <c r="S273" s="233"/>
      <c r="T273" s="233"/>
      <c r="U273" s="233"/>
      <c r="V273" s="233"/>
      <c r="W273" s="233"/>
      <c r="X273" s="233"/>
      <c r="Y273" s="233"/>
      <c r="Z273" s="233"/>
      <c r="AA273" s="233"/>
    </row>
    <row r="274" spans="4:27" s="139" customFormat="1">
      <c r="D274" s="191"/>
      <c r="N274" s="233"/>
      <c r="O274" s="233"/>
      <c r="P274" s="233"/>
      <c r="Q274" s="233"/>
      <c r="R274" s="303"/>
      <c r="S274" s="233"/>
      <c r="T274" s="233"/>
      <c r="U274" s="233"/>
      <c r="V274" s="233"/>
      <c r="W274" s="233"/>
      <c r="X274" s="233"/>
      <c r="Y274" s="233"/>
      <c r="Z274" s="233"/>
      <c r="AA274" s="233"/>
    </row>
    <row r="275" spans="4:27" s="139" customFormat="1">
      <c r="D275" s="191"/>
      <c r="N275" s="233"/>
      <c r="O275" s="233"/>
      <c r="P275" s="233"/>
      <c r="Q275" s="233"/>
      <c r="R275" s="303"/>
      <c r="S275" s="233"/>
      <c r="T275" s="233"/>
      <c r="U275" s="233"/>
      <c r="V275" s="233"/>
      <c r="W275" s="233"/>
      <c r="X275" s="233"/>
      <c r="Y275" s="233"/>
      <c r="Z275" s="233"/>
      <c r="AA275" s="233"/>
    </row>
    <row r="276" spans="4:27" s="139" customFormat="1">
      <c r="D276" s="191"/>
      <c r="N276" s="233"/>
      <c r="O276" s="233"/>
      <c r="P276" s="233"/>
      <c r="Q276" s="233"/>
      <c r="R276" s="303"/>
      <c r="S276" s="233"/>
      <c r="T276" s="233"/>
      <c r="U276" s="233"/>
      <c r="V276" s="233"/>
      <c r="W276" s="233"/>
      <c r="X276" s="233"/>
      <c r="Y276" s="233"/>
      <c r="Z276" s="233"/>
      <c r="AA276" s="233"/>
    </row>
    <row r="277" spans="4:27" s="139" customFormat="1">
      <c r="D277" s="191"/>
      <c r="N277" s="233"/>
      <c r="O277" s="233"/>
      <c r="P277" s="233"/>
      <c r="Q277" s="233"/>
      <c r="R277" s="303"/>
      <c r="S277" s="233"/>
      <c r="T277" s="233"/>
      <c r="U277" s="233"/>
      <c r="V277" s="233"/>
      <c r="W277" s="233"/>
      <c r="X277" s="233"/>
      <c r="Y277" s="233"/>
      <c r="Z277" s="233"/>
      <c r="AA277" s="233"/>
    </row>
    <row r="278" spans="4:27" s="139" customFormat="1">
      <c r="D278" s="191"/>
      <c r="N278" s="233"/>
      <c r="O278" s="233"/>
      <c r="P278" s="233"/>
      <c r="Q278" s="233"/>
      <c r="R278" s="303"/>
      <c r="S278" s="233"/>
      <c r="T278" s="233"/>
      <c r="U278" s="233"/>
      <c r="V278" s="233"/>
      <c r="W278" s="233"/>
      <c r="X278" s="233"/>
      <c r="Y278" s="233"/>
      <c r="Z278" s="233"/>
      <c r="AA278" s="233"/>
    </row>
    <row r="279" spans="4:27" s="139" customFormat="1">
      <c r="D279" s="191"/>
      <c r="N279" s="233"/>
      <c r="O279" s="233"/>
      <c r="P279" s="233"/>
      <c r="Q279" s="233"/>
      <c r="R279" s="303"/>
      <c r="S279" s="233"/>
      <c r="T279" s="233"/>
      <c r="U279" s="233"/>
      <c r="V279" s="233"/>
      <c r="W279" s="233"/>
      <c r="X279" s="233"/>
      <c r="Y279" s="233"/>
      <c r="Z279" s="233"/>
      <c r="AA279" s="233"/>
    </row>
    <row r="280" spans="4:27" s="139" customFormat="1">
      <c r="D280" s="191"/>
      <c r="N280" s="233"/>
      <c r="O280" s="233"/>
      <c r="P280" s="233"/>
      <c r="Q280" s="233"/>
      <c r="R280" s="303"/>
      <c r="S280" s="233"/>
      <c r="T280" s="233"/>
      <c r="U280" s="233"/>
      <c r="V280" s="233"/>
      <c r="W280" s="233"/>
      <c r="X280" s="233"/>
      <c r="Y280" s="233"/>
      <c r="Z280" s="233"/>
      <c r="AA280" s="233"/>
    </row>
    <row r="281" spans="4:27" s="139" customFormat="1">
      <c r="D281" s="191"/>
      <c r="N281" s="233"/>
      <c r="O281" s="233"/>
      <c r="P281" s="233"/>
      <c r="Q281" s="233"/>
      <c r="R281" s="303"/>
      <c r="S281" s="233"/>
      <c r="T281" s="233"/>
      <c r="U281" s="233"/>
      <c r="V281" s="233"/>
      <c r="W281" s="233"/>
      <c r="X281" s="233"/>
      <c r="Y281" s="233"/>
      <c r="Z281" s="233"/>
      <c r="AA281" s="233"/>
    </row>
    <row r="282" spans="4:27" s="139" customFormat="1">
      <c r="D282" s="191"/>
      <c r="N282" s="233"/>
      <c r="O282" s="233"/>
      <c r="P282" s="233"/>
      <c r="Q282" s="233"/>
      <c r="R282" s="303"/>
      <c r="S282" s="233"/>
      <c r="T282" s="233"/>
      <c r="U282" s="233"/>
      <c r="V282" s="233"/>
      <c r="W282" s="233"/>
      <c r="X282" s="233"/>
      <c r="Y282" s="233"/>
      <c r="Z282" s="233"/>
      <c r="AA282" s="233"/>
    </row>
    <row r="283" spans="4:27" s="139" customFormat="1">
      <c r="D283" s="191"/>
      <c r="N283" s="233"/>
      <c r="O283" s="233"/>
      <c r="P283" s="233"/>
      <c r="Q283" s="233"/>
      <c r="R283" s="303"/>
      <c r="S283" s="233"/>
      <c r="T283" s="233"/>
      <c r="U283" s="233"/>
      <c r="V283" s="233"/>
      <c r="W283" s="233"/>
      <c r="X283" s="233"/>
      <c r="Y283" s="233"/>
      <c r="Z283" s="233"/>
      <c r="AA283" s="233"/>
    </row>
    <row r="284" spans="4:27" s="139" customFormat="1">
      <c r="D284" s="191"/>
      <c r="N284" s="233"/>
      <c r="O284" s="233"/>
      <c r="P284" s="233"/>
      <c r="Q284" s="233"/>
      <c r="R284" s="303"/>
      <c r="S284" s="233"/>
      <c r="T284" s="233"/>
      <c r="U284" s="233"/>
      <c r="V284" s="233"/>
      <c r="W284" s="233"/>
      <c r="X284" s="233"/>
      <c r="Y284" s="233"/>
      <c r="Z284" s="233"/>
      <c r="AA284" s="233"/>
    </row>
    <row r="285" spans="4:27" s="139" customFormat="1">
      <c r="D285" s="191"/>
      <c r="N285" s="233"/>
      <c r="O285" s="233"/>
      <c r="P285" s="233"/>
      <c r="Q285" s="233"/>
      <c r="R285" s="303"/>
      <c r="S285" s="233"/>
      <c r="T285" s="233"/>
      <c r="U285" s="233"/>
      <c r="V285" s="233"/>
      <c r="W285" s="233"/>
      <c r="X285" s="233"/>
      <c r="Y285" s="233"/>
      <c r="Z285" s="233"/>
      <c r="AA285" s="233"/>
    </row>
    <row r="286" spans="4:27" s="139" customFormat="1">
      <c r="D286" s="191"/>
      <c r="N286" s="233"/>
      <c r="O286" s="233"/>
      <c r="P286" s="233"/>
      <c r="Q286" s="233"/>
      <c r="R286" s="303"/>
      <c r="S286" s="233"/>
      <c r="T286" s="233"/>
      <c r="U286" s="233"/>
      <c r="V286" s="233"/>
      <c r="W286" s="233"/>
      <c r="X286" s="233"/>
      <c r="Y286" s="233"/>
      <c r="Z286" s="233"/>
      <c r="AA286" s="233"/>
    </row>
    <row r="287" spans="4:27" s="139" customFormat="1">
      <c r="D287" s="191"/>
      <c r="N287" s="233"/>
      <c r="O287" s="233"/>
      <c r="P287" s="233"/>
      <c r="Q287" s="233"/>
      <c r="R287" s="303"/>
      <c r="S287" s="233"/>
      <c r="T287" s="233"/>
      <c r="U287" s="233"/>
      <c r="V287" s="233"/>
      <c r="W287" s="233"/>
      <c r="X287" s="233"/>
      <c r="Y287" s="233"/>
      <c r="Z287" s="233"/>
      <c r="AA287" s="233"/>
    </row>
    <row r="288" spans="4:27" s="139" customFormat="1">
      <c r="D288" s="191"/>
      <c r="N288" s="233"/>
      <c r="O288" s="233"/>
      <c r="P288" s="233"/>
      <c r="Q288" s="233"/>
      <c r="R288" s="303"/>
      <c r="S288" s="233"/>
      <c r="T288" s="233"/>
      <c r="U288" s="233"/>
      <c r="V288" s="233"/>
      <c r="W288" s="233"/>
      <c r="X288" s="233"/>
      <c r="Y288" s="233"/>
      <c r="Z288" s="233"/>
      <c r="AA288" s="233"/>
    </row>
    <row r="289" spans="4:27" s="139" customFormat="1">
      <c r="D289" s="191"/>
      <c r="N289" s="233"/>
      <c r="O289" s="233"/>
      <c r="P289" s="233"/>
      <c r="Q289" s="233"/>
      <c r="R289" s="303"/>
      <c r="S289" s="233"/>
      <c r="T289" s="233"/>
      <c r="U289" s="233"/>
      <c r="V289" s="233"/>
      <c r="W289" s="233"/>
      <c r="X289" s="233"/>
      <c r="Y289" s="233"/>
      <c r="Z289" s="233"/>
      <c r="AA289" s="233"/>
    </row>
    <row r="290" spans="4:27" s="139" customFormat="1">
      <c r="D290" s="191"/>
      <c r="N290" s="233"/>
      <c r="O290" s="233"/>
      <c r="P290" s="233"/>
      <c r="Q290" s="233"/>
      <c r="R290" s="303"/>
      <c r="S290" s="233"/>
      <c r="T290" s="233"/>
      <c r="U290" s="233"/>
      <c r="V290" s="233"/>
      <c r="W290" s="233"/>
      <c r="X290" s="233"/>
      <c r="Y290" s="233"/>
      <c r="Z290" s="233"/>
      <c r="AA290" s="233"/>
    </row>
    <row r="291" spans="4:27" s="139" customFormat="1">
      <c r="D291" s="191"/>
      <c r="N291" s="233"/>
      <c r="O291" s="233"/>
      <c r="P291" s="233"/>
      <c r="Q291" s="233"/>
      <c r="R291" s="303"/>
      <c r="S291" s="233"/>
      <c r="T291" s="233"/>
      <c r="U291" s="233"/>
      <c r="V291" s="233"/>
      <c r="W291" s="233"/>
      <c r="X291" s="233"/>
      <c r="Y291" s="233"/>
      <c r="Z291" s="233"/>
      <c r="AA291" s="233"/>
    </row>
    <row r="292" spans="4:27" s="139" customFormat="1">
      <c r="D292" s="191"/>
      <c r="N292" s="233"/>
      <c r="O292" s="233"/>
      <c r="P292" s="233"/>
      <c r="Q292" s="233"/>
      <c r="R292" s="303"/>
      <c r="S292" s="233"/>
      <c r="T292" s="233"/>
      <c r="U292" s="233"/>
      <c r="V292" s="233"/>
      <c r="W292" s="233"/>
      <c r="X292" s="233"/>
      <c r="Y292" s="233"/>
      <c r="Z292" s="233"/>
      <c r="AA292" s="233"/>
    </row>
    <row r="293" spans="4:27" s="139" customFormat="1">
      <c r="D293" s="191"/>
      <c r="N293" s="233"/>
      <c r="O293" s="233"/>
      <c r="P293" s="233"/>
      <c r="Q293" s="233"/>
      <c r="R293" s="303"/>
      <c r="S293" s="233"/>
      <c r="T293" s="233"/>
      <c r="U293" s="233"/>
      <c r="V293" s="233"/>
      <c r="W293" s="233"/>
      <c r="X293" s="233"/>
      <c r="Y293" s="233"/>
      <c r="Z293" s="233"/>
      <c r="AA293" s="233"/>
    </row>
    <row r="294" spans="4:27" s="139" customFormat="1">
      <c r="D294" s="191"/>
      <c r="N294" s="233"/>
      <c r="O294" s="233"/>
      <c r="P294" s="233"/>
      <c r="Q294" s="233"/>
      <c r="R294" s="303"/>
      <c r="S294" s="233"/>
      <c r="T294" s="233"/>
      <c r="U294" s="233"/>
      <c r="V294" s="233"/>
      <c r="W294" s="233"/>
      <c r="X294" s="233"/>
      <c r="Y294" s="233"/>
      <c r="Z294" s="233"/>
      <c r="AA294" s="233"/>
    </row>
    <row r="295" spans="4:27" s="139" customFormat="1">
      <c r="D295" s="191"/>
      <c r="N295" s="233"/>
      <c r="O295" s="233"/>
      <c r="P295" s="233"/>
      <c r="Q295" s="233"/>
      <c r="R295" s="303"/>
      <c r="S295" s="233"/>
      <c r="T295" s="233"/>
      <c r="U295" s="233"/>
      <c r="V295" s="233"/>
      <c r="W295" s="233"/>
      <c r="X295" s="233"/>
      <c r="Y295" s="233"/>
      <c r="Z295" s="233"/>
      <c r="AA295" s="233"/>
    </row>
    <row r="296" spans="4:27" s="139" customFormat="1">
      <c r="D296" s="191"/>
      <c r="N296" s="233"/>
      <c r="O296" s="233"/>
      <c r="P296" s="233"/>
      <c r="Q296" s="233"/>
      <c r="R296" s="303"/>
      <c r="S296" s="233"/>
      <c r="T296" s="233"/>
      <c r="U296" s="233"/>
      <c r="V296" s="233"/>
      <c r="W296" s="233"/>
      <c r="X296" s="233"/>
      <c r="Y296" s="233"/>
      <c r="Z296" s="233"/>
      <c r="AA296" s="233"/>
    </row>
    <row r="297" spans="4:27" s="139" customFormat="1">
      <c r="D297" s="191"/>
      <c r="N297" s="233"/>
      <c r="O297" s="233"/>
      <c r="P297" s="233"/>
      <c r="Q297" s="233"/>
      <c r="R297" s="303"/>
      <c r="S297" s="233"/>
      <c r="T297" s="233"/>
      <c r="U297" s="233"/>
      <c r="V297" s="233"/>
      <c r="W297" s="233"/>
      <c r="X297" s="233"/>
      <c r="Y297" s="233"/>
      <c r="Z297" s="233"/>
      <c r="AA297" s="233"/>
    </row>
    <row r="298" spans="4:27" s="139" customFormat="1">
      <c r="D298" s="191"/>
      <c r="N298" s="233"/>
      <c r="O298" s="233"/>
      <c r="P298" s="233"/>
      <c r="Q298" s="233"/>
      <c r="R298" s="303"/>
      <c r="S298" s="233"/>
      <c r="T298" s="233"/>
      <c r="U298" s="233"/>
      <c r="V298" s="233"/>
      <c r="W298" s="233"/>
      <c r="X298" s="233"/>
      <c r="Y298" s="233"/>
      <c r="Z298" s="233"/>
      <c r="AA298" s="233"/>
    </row>
    <row r="299" spans="4:27" s="139" customFormat="1">
      <c r="D299" s="191"/>
      <c r="N299" s="233"/>
      <c r="O299" s="233"/>
      <c r="P299" s="233"/>
      <c r="Q299" s="233"/>
      <c r="R299" s="303"/>
      <c r="S299" s="233"/>
      <c r="T299" s="233"/>
      <c r="U299" s="233"/>
      <c r="V299" s="233"/>
      <c r="W299" s="233"/>
      <c r="X299" s="233"/>
      <c r="Y299" s="233"/>
      <c r="Z299" s="233"/>
      <c r="AA299" s="233"/>
    </row>
    <row r="300" spans="4:27" s="139" customFormat="1">
      <c r="D300" s="191"/>
      <c r="N300" s="233"/>
      <c r="O300" s="233"/>
      <c r="P300" s="233"/>
      <c r="Q300" s="233"/>
      <c r="R300" s="303"/>
      <c r="S300" s="233"/>
      <c r="T300" s="233"/>
      <c r="U300" s="233"/>
      <c r="V300" s="233"/>
      <c r="W300" s="233"/>
      <c r="X300" s="233"/>
      <c r="Y300" s="233"/>
      <c r="Z300" s="233"/>
      <c r="AA300" s="233"/>
    </row>
    <row r="301" spans="4:27" s="139" customFormat="1">
      <c r="D301" s="191"/>
      <c r="N301" s="233"/>
      <c r="O301" s="233"/>
      <c r="P301" s="233"/>
      <c r="Q301" s="233"/>
      <c r="R301" s="303"/>
      <c r="S301" s="233"/>
      <c r="T301" s="233"/>
      <c r="U301" s="233"/>
      <c r="V301" s="233"/>
      <c r="W301" s="233"/>
      <c r="X301" s="233"/>
      <c r="Y301" s="233"/>
      <c r="Z301" s="233"/>
      <c r="AA301" s="233"/>
    </row>
    <row r="302" spans="4:27" s="139" customFormat="1">
      <c r="D302" s="191"/>
      <c r="N302" s="233"/>
      <c r="O302" s="233"/>
      <c r="P302" s="233"/>
      <c r="Q302" s="233"/>
      <c r="R302" s="303"/>
      <c r="S302" s="233"/>
      <c r="T302" s="233"/>
      <c r="U302" s="233"/>
      <c r="V302" s="233"/>
      <c r="W302" s="233"/>
      <c r="X302" s="233"/>
      <c r="Y302" s="233"/>
      <c r="Z302" s="233"/>
      <c r="AA302" s="233"/>
    </row>
    <row r="303" spans="4:27" s="139" customFormat="1">
      <c r="D303" s="191"/>
      <c r="N303" s="233"/>
      <c r="O303" s="233"/>
      <c r="P303" s="233"/>
      <c r="Q303" s="233"/>
      <c r="R303" s="303"/>
      <c r="S303" s="233"/>
      <c r="T303" s="233"/>
      <c r="U303" s="233"/>
      <c r="V303" s="233"/>
      <c r="W303" s="233"/>
      <c r="X303" s="233"/>
      <c r="Y303" s="233"/>
      <c r="Z303" s="233"/>
      <c r="AA303" s="233"/>
    </row>
    <row r="304" spans="4:27" s="139" customFormat="1">
      <c r="D304" s="191"/>
      <c r="N304" s="233"/>
      <c r="O304" s="233"/>
      <c r="P304" s="233"/>
      <c r="Q304" s="233"/>
      <c r="R304" s="303"/>
      <c r="S304" s="233"/>
      <c r="T304" s="233"/>
      <c r="U304" s="233"/>
      <c r="V304" s="233"/>
      <c r="W304" s="233"/>
      <c r="X304" s="233"/>
      <c r="Y304" s="233"/>
      <c r="Z304" s="233"/>
      <c r="AA304" s="233"/>
    </row>
    <row r="305" spans="4:27" s="139" customFormat="1">
      <c r="D305" s="191"/>
      <c r="N305" s="233"/>
      <c r="O305" s="233"/>
      <c r="P305" s="233"/>
      <c r="Q305" s="233"/>
      <c r="R305" s="303"/>
      <c r="S305" s="233"/>
      <c r="T305" s="233"/>
      <c r="U305" s="233"/>
      <c r="V305" s="233"/>
      <c r="W305" s="233"/>
      <c r="X305" s="233"/>
      <c r="Y305" s="233"/>
      <c r="Z305" s="233"/>
      <c r="AA305" s="233"/>
    </row>
    <row r="306" spans="4:27" s="139" customFormat="1">
      <c r="D306" s="191"/>
      <c r="N306" s="233"/>
      <c r="O306" s="233"/>
      <c r="P306" s="233"/>
      <c r="Q306" s="233"/>
      <c r="R306" s="303"/>
      <c r="S306" s="233"/>
      <c r="T306" s="233"/>
      <c r="U306" s="233"/>
      <c r="V306" s="233"/>
      <c r="W306" s="233"/>
      <c r="X306" s="233"/>
      <c r="Y306" s="233"/>
      <c r="Z306" s="233"/>
      <c r="AA306" s="233"/>
    </row>
    <row r="307" spans="4:27" s="139" customFormat="1">
      <c r="D307" s="191"/>
      <c r="N307" s="233"/>
      <c r="O307" s="233"/>
      <c r="P307" s="233"/>
      <c r="Q307" s="233"/>
      <c r="R307" s="303"/>
      <c r="S307" s="233"/>
      <c r="T307" s="233"/>
      <c r="U307" s="233"/>
      <c r="V307" s="233"/>
      <c r="W307" s="233"/>
      <c r="X307" s="233"/>
      <c r="Y307" s="233"/>
      <c r="Z307" s="233"/>
      <c r="AA307" s="233"/>
    </row>
    <row r="308" spans="4:27" s="139" customFormat="1">
      <c r="D308" s="191"/>
      <c r="N308" s="233"/>
      <c r="O308" s="233"/>
      <c r="P308" s="233"/>
      <c r="Q308" s="233"/>
      <c r="R308" s="303"/>
      <c r="S308" s="233"/>
      <c r="T308" s="233"/>
      <c r="U308" s="233"/>
      <c r="V308" s="233"/>
      <c r="W308" s="233"/>
      <c r="X308" s="233"/>
      <c r="Y308" s="233"/>
      <c r="Z308" s="233"/>
      <c r="AA308" s="233"/>
    </row>
    <row r="309" spans="4:27" s="139" customFormat="1">
      <c r="D309" s="191"/>
      <c r="N309" s="233"/>
      <c r="O309" s="233"/>
      <c r="P309" s="233"/>
      <c r="Q309" s="233"/>
      <c r="R309" s="303"/>
      <c r="S309" s="233"/>
      <c r="T309" s="233"/>
      <c r="U309" s="233"/>
      <c r="V309" s="233"/>
      <c r="W309" s="233"/>
      <c r="X309" s="233"/>
      <c r="Y309" s="233"/>
      <c r="Z309" s="233"/>
      <c r="AA309" s="233"/>
    </row>
    <row r="310" spans="4:27" s="139" customFormat="1">
      <c r="D310" s="191"/>
      <c r="N310" s="233"/>
      <c r="O310" s="233"/>
      <c r="P310" s="233"/>
      <c r="Q310" s="233"/>
      <c r="R310" s="303"/>
      <c r="S310" s="233"/>
      <c r="T310" s="233"/>
      <c r="U310" s="233"/>
      <c r="V310" s="233"/>
      <c r="W310" s="233"/>
      <c r="X310" s="233"/>
      <c r="Y310" s="233"/>
      <c r="Z310" s="233"/>
      <c r="AA310" s="233"/>
    </row>
    <row r="311" spans="4:27" s="139" customFormat="1">
      <c r="D311" s="191"/>
      <c r="N311" s="233"/>
      <c r="O311" s="233"/>
      <c r="P311" s="233"/>
      <c r="Q311" s="233"/>
      <c r="R311" s="303"/>
      <c r="S311" s="233"/>
      <c r="T311" s="233"/>
      <c r="U311" s="233"/>
      <c r="V311" s="233"/>
      <c r="W311" s="233"/>
      <c r="X311" s="233"/>
      <c r="Y311" s="233"/>
      <c r="Z311" s="233"/>
      <c r="AA311" s="233"/>
    </row>
    <row r="312" spans="4:27" s="139" customFormat="1">
      <c r="D312" s="191"/>
      <c r="N312" s="233"/>
      <c r="O312" s="233"/>
      <c r="P312" s="233"/>
      <c r="Q312" s="233"/>
      <c r="R312" s="303"/>
      <c r="S312" s="233"/>
      <c r="T312" s="233"/>
      <c r="U312" s="233"/>
      <c r="V312" s="233"/>
      <c r="W312" s="233"/>
      <c r="X312" s="233"/>
      <c r="Y312" s="233"/>
      <c r="Z312" s="233"/>
      <c r="AA312" s="233"/>
    </row>
    <row r="313" spans="4:27" s="139" customFormat="1">
      <c r="D313" s="191"/>
      <c r="N313" s="233"/>
      <c r="O313" s="233"/>
      <c r="P313" s="233"/>
      <c r="Q313" s="233"/>
      <c r="R313" s="303"/>
      <c r="S313" s="233"/>
      <c r="T313" s="233"/>
      <c r="U313" s="233"/>
      <c r="V313" s="233"/>
      <c r="W313" s="233"/>
      <c r="X313" s="233"/>
      <c r="Y313" s="233"/>
      <c r="Z313" s="233"/>
      <c r="AA313" s="233"/>
    </row>
    <row r="314" spans="4:27" s="139" customFormat="1">
      <c r="D314" s="191"/>
      <c r="N314" s="233"/>
      <c r="O314" s="233"/>
      <c r="P314" s="233"/>
      <c r="Q314" s="233"/>
      <c r="R314" s="303"/>
      <c r="S314" s="233"/>
      <c r="T314" s="233"/>
      <c r="U314" s="233"/>
      <c r="V314" s="233"/>
      <c r="W314" s="233"/>
      <c r="X314" s="233"/>
      <c r="Y314" s="233"/>
      <c r="Z314" s="233"/>
      <c r="AA314" s="233"/>
    </row>
    <row r="315" spans="4:27" s="139" customFormat="1">
      <c r="D315" s="191"/>
      <c r="N315" s="233"/>
      <c r="O315" s="233"/>
      <c r="P315" s="233"/>
      <c r="Q315" s="233"/>
      <c r="R315" s="303"/>
      <c r="S315" s="233"/>
      <c r="T315" s="233"/>
      <c r="U315" s="233"/>
      <c r="V315" s="233"/>
      <c r="W315" s="233"/>
      <c r="X315" s="233"/>
      <c r="Y315" s="233"/>
      <c r="Z315" s="233"/>
      <c r="AA315" s="233"/>
    </row>
    <row r="316" spans="4:27" s="139" customFormat="1">
      <c r="D316" s="191"/>
      <c r="N316" s="233"/>
      <c r="O316" s="233"/>
      <c r="P316" s="233"/>
      <c r="Q316" s="233"/>
      <c r="R316" s="303"/>
      <c r="S316" s="233"/>
      <c r="T316" s="233"/>
      <c r="U316" s="233"/>
      <c r="V316" s="233"/>
      <c r="W316" s="233"/>
      <c r="X316" s="233"/>
      <c r="Y316" s="233"/>
      <c r="Z316" s="233"/>
      <c r="AA316" s="233"/>
    </row>
    <row r="317" spans="4:27" s="139" customFormat="1">
      <c r="D317" s="191"/>
      <c r="N317" s="233"/>
      <c r="O317" s="233"/>
      <c r="P317" s="233"/>
      <c r="Q317" s="233"/>
      <c r="R317" s="303"/>
      <c r="S317" s="233"/>
      <c r="T317" s="233"/>
      <c r="U317" s="233"/>
      <c r="V317" s="233"/>
      <c r="W317" s="233"/>
      <c r="X317" s="233"/>
      <c r="Y317" s="233"/>
      <c r="Z317" s="233"/>
      <c r="AA317" s="233"/>
    </row>
    <row r="318" spans="4:27" s="139" customFormat="1">
      <c r="D318" s="191"/>
      <c r="N318" s="233"/>
      <c r="O318" s="233"/>
      <c r="P318" s="233"/>
      <c r="Q318" s="233"/>
      <c r="R318" s="303"/>
      <c r="S318" s="233"/>
      <c r="T318" s="233"/>
      <c r="U318" s="233"/>
      <c r="V318" s="233"/>
      <c r="W318" s="233"/>
      <c r="X318" s="233"/>
      <c r="Y318" s="233"/>
      <c r="Z318" s="233"/>
      <c r="AA318" s="233"/>
    </row>
    <row r="319" spans="4:27" s="139" customFormat="1">
      <c r="D319" s="191"/>
      <c r="N319" s="233"/>
      <c r="O319" s="233"/>
      <c r="P319" s="233"/>
      <c r="Q319" s="233"/>
      <c r="R319" s="303"/>
      <c r="S319" s="233"/>
      <c r="T319" s="233"/>
      <c r="U319" s="233"/>
      <c r="V319" s="233"/>
      <c r="W319" s="233"/>
      <c r="X319" s="233"/>
      <c r="Y319" s="233"/>
      <c r="Z319" s="233"/>
      <c r="AA319" s="233"/>
    </row>
    <row r="320" spans="4:27" s="139" customFormat="1">
      <c r="D320" s="191"/>
      <c r="N320" s="233"/>
      <c r="O320" s="233"/>
      <c r="P320" s="233"/>
      <c r="Q320" s="233"/>
      <c r="R320" s="303"/>
      <c r="S320" s="233"/>
      <c r="T320" s="233"/>
      <c r="U320" s="233"/>
      <c r="V320" s="233"/>
      <c r="W320" s="233"/>
      <c r="X320" s="233"/>
      <c r="Y320" s="233"/>
      <c r="Z320" s="233"/>
      <c r="AA320" s="233"/>
    </row>
    <row r="321" spans="4:27" s="139" customFormat="1">
      <c r="D321" s="191"/>
      <c r="N321" s="233"/>
      <c r="O321" s="233"/>
      <c r="P321" s="233"/>
      <c r="Q321" s="233"/>
      <c r="R321" s="303"/>
      <c r="S321" s="233"/>
      <c r="T321" s="233"/>
      <c r="U321" s="233"/>
      <c r="V321" s="233"/>
      <c r="W321" s="233"/>
      <c r="X321" s="233"/>
      <c r="Y321" s="233"/>
      <c r="Z321" s="233"/>
      <c r="AA321" s="233"/>
    </row>
    <row r="322" spans="4:27" s="139" customFormat="1">
      <c r="D322" s="191"/>
      <c r="N322" s="233"/>
      <c r="O322" s="233"/>
      <c r="P322" s="233"/>
      <c r="Q322" s="233"/>
      <c r="R322" s="303"/>
      <c r="S322" s="233"/>
      <c r="T322" s="233"/>
      <c r="U322" s="233"/>
      <c r="V322" s="233"/>
      <c r="W322" s="233"/>
      <c r="X322" s="233"/>
      <c r="Y322" s="233"/>
      <c r="Z322" s="233"/>
      <c r="AA322" s="233"/>
    </row>
    <row r="323" spans="4:27" s="139" customFormat="1">
      <c r="D323" s="191"/>
      <c r="N323" s="233"/>
      <c r="O323" s="233"/>
      <c r="P323" s="233"/>
      <c r="Q323" s="233"/>
      <c r="R323" s="303"/>
      <c r="S323" s="233"/>
      <c r="T323" s="233"/>
      <c r="U323" s="233"/>
      <c r="V323" s="233"/>
      <c r="W323" s="233"/>
      <c r="X323" s="233"/>
      <c r="Y323" s="233"/>
      <c r="Z323" s="233"/>
      <c r="AA323" s="233"/>
    </row>
    <row r="324" spans="4:27" s="139" customFormat="1">
      <c r="D324" s="191"/>
      <c r="N324" s="233"/>
      <c r="O324" s="233"/>
      <c r="P324" s="233"/>
      <c r="Q324" s="233"/>
      <c r="R324" s="303"/>
      <c r="S324" s="233"/>
      <c r="T324" s="233"/>
      <c r="U324" s="233"/>
      <c r="V324" s="233"/>
      <c r="W324" s="233"/>
      <c r="X324" s="233"/>
      <c r="Y324" s="233"/>
      <c r="Z324" s="233"/>
      <c r="AA324" s="233"/>
    </row>
    <row r="325" spans="4:27" s="139" customFormat="1">
      <c r="D325" s="191"/>
      <c r="N325" s="233"/>
      <c r="O325" s="233"/>
      <c r="P325" s="233"/>
      <c r="Q325" s="233"/>
      <c r="R325" s="303"/>
      <c r="S325" s="233"/>
      <c r="T325" s="233"/>
      <c r="U325" s="233"/>
      <c r="V325" s="233"/>
      <c r="W325" s="233"/>
      <c r="X325" s="233"/>
      <c r="Y325" s="233"/>
      <c r="Z325" s="233"/>
      <c r="AA325" s="233"/>
    </row>
    <row r="326" spans="4:27" s="139" customFormat="1">
      <c r="D326" s="191"/>
      <c r="N326" s="233"/>
      <c r="O326" s="233"/>
      <c r="P326" s="233"/>
      <c r="Q326" s="233"/>
      <c r="R326" s="303"/>
      <c r="S326" s="233"/>
      <c r="T326" s="233"/>
      <c r="U326" s="233"/>
      <c r="V326" s="233"/>
      <c r="W326" s="233"/>
      <c r="X326" s="233"/>
      <c r="Y326" s="233"/>
      <c r="Z326" s="233"/>
      <c r="AA326" s="233"/>
    </row>
    <row r="327" spans="4:27" s="139" customFormat="1">
      <c r="D327" s="191"/>
      <c r="N327" s="233"/>
      <c r="O327" s="233"/>
      <c r="P327" s="233"/>
      <c r="Q327" s="233"/>
      <c r="R327" s="303"/>
      <c r="S327" s="233"/>
      <c r="T327" s="233"/>
      <c r="U327" s="233"/>
      <c r="V327" s="233"/>
      <c r="W327" s="233"/>
      <c r="X327" s="233"/>
      <c r="Y327" s="233"/>
      <c r="Z327" s="233"/>
      <c r="AA327" s="233"/>
    </row>
    <row r="328" spans="4:27" s="139" customFormat="1">
      <c r="D328" s="191"/>
      <c r="N328" s="233"/>
      <c r="O328" s="233"/>
      <c r="P328" s="233"/>
      <c r="Q328" s="233"/>
      <c r="R328" s="303"/>
      <c r="S328" s="233"/>
      <c r="T328" s="233"/>
      <c r="U328" s="233"/>
      <c r="V328" s="233"/>
      <c r="W328" s="233"/>
      <c r="X328" s="233"/>
      <c r="Y328" s="233"/>
      <c r="Z328" s="233"/>
      <c r="AA328" s="233"/>
    </row>
    <row r="329" spans="4:27" s="139" customFormat="1">
      <c r="D329" s="191"/>
      <c r="N329" s="233"/>
      <c r="O329" s="233"/>
      <c r="P329" s="233"/>
      <c r="Q329" s="233"/>
      <c r="R329" s="303"/>
      <c r="S329" s="233"/>
      <c r="T329" s="233"/>
      <c r="U329" s="233"/>
      <c r="V329" s="233"/>
      <c r="W329" s="233"/>
      <c r="X329" s="233"/>
      <c r="Y329" s="233"/>
      <c r="Z329" s="233"/>
      <c r="AA329" s="233"/>
    </row>
    <row r="330" spans="4:27" s="139" customFormat="1">
      <c r="D330" s="191"/>
      <c r="N330" s="233"/>
      <c r="O330" s="233"/>
      <c r="P330" s="233"/>
      <c r="Q330" s="233"/>
      <c r="R330" s="303"/>
      <c r="S330" s="233"/>
      <c r="T330" s="233"/>
      <c r="U330" s="233"/>
      <c r="V330" s="233"/>
      <c r="W330" s="233"/>
      <c r="X330" s="233"/>
      <c r="Y330" s="233"/>
      <c r="Z330" s="233"/>
      <c r="AA330" s="233"/>
    </row>
    <row r="331" spans="4:27" s="139" customFormat="1">
      <c r="D331" s="191"/>
      <c r="N331" s="233"/>
      <c r="O331" s="233"/>
      <c r="P331" s="233"/>
      <c r="Q331" s="233"/>
      <c r="R331" s="303"/>
      <c r="S331" s="233"/>
      <c r="T331" s="233"/>
      <c r="U331" s="233"/>
      <c r="V331" s="233"/>
      <c r="W331" s="233"/>
      <c r="X331" s="233"/>
      <c r="Y331" s="233"/>
      <c r="Z331" s="233"/>
      <c r="AA331" s="233"/>
    </row>
    <row r="332" spans="4:27" s="139" customFormat="1">
      <c r="D332" s="191"/>
      <c r="N332" s="233"/>
      <c r="O332" s="233"/>
      <c r="P332" s="233"/>
      <c r="Q332" s="233"/>
      <c r="R332" s="303"/>
      <c r="S332" s="233"/>
      <c r="T332" s="233"/>
      <c r="U332" s="233"/>
      <c r="V332" s="233"/>
      <c r="W332" s="233"/>
      <c r="X332" s="233"/>
      <c r="Y332" s="233"/>
      <c r="Z332" s="233"/>
      <c r="AA332" s="233"/>
    </row>
    <row r="333" spans="4:27" s="139" customFormat="1">
      <c r="D333" s="191"/>
      <c r="N333" s="233"/>
      <c r="O333" s="233"/>
      <c r="P333" s="233"/>
      <c r="Q333" s="233"/>
      <c r="R333" s="303"/>
      <c r="S333" s="233"/>
      <c r="T333" s="233"/>
      <c r="U333" s="233"/>
      <c r="V333" s="233"/>
      <c r="W333" s="233"/>
      <c r="X333" s="233"/>
      <c r="Y333" s="233"/>
      <c r="Z333" s="233"/>
      <c r="AA333" s="233"/>
    </row>
    <row r="334" spans="4:27" s="139" customFormat="1">
      <c r="D334" s="191"/>
      <c r="N334" s="233"/>
      <c r="O334" s="233"/>
      <c r="P334" s="233"/>
      <c r="Q334" s="233"/>
      <c r="R334" s="303"/>
      <c r="S334" s="233"/>
      <c r="T334" s="233"/>
      <c r="U334" s="233"/>
      <c r="V334" s="233"/>
      <c r="W334" s="233"/>
      <c r="X334" s="233"/>
      <c r="Y334" s="233"/>
      <c r="Z334" s="233"/>
      <c r="AA334" s="233"/>
    </row>
    <row r="335" spans="4:27" s="139" customFormat="1">
      <c r="D335" s="191"/>
      <c r="N335" s="233"/>
      <c r="O335" s="233"/>
      <c r="P335" s="233"/>
      <c r="Q335" s="233"/>
      <c r="R335" s="303"/>
      <c r="S335" s="233"/>
      <c r="T335" s="233"/>
      <c r="U335" s="233"/>
      <c r="V335" s="233"/>
      <c r="W335" s="233"/>
      <c r="X335" s="233"/>
      <c r="Y335" s="233"/>
      <c r="Z335" s="233"/>
      <c r="AA335" s="233"/>
    </row>
    <row r="336" spans="4:27" s="139" customFormat="1">
      <c r="D336" s="191"/>
      <c r="N336" s="233"/>
      <c r="O336" s="233"/>
      <c r="P336" s="233"/>
      <c r="Q336" s="233"/>
      <c r="R336" s="303"/>
      <c r="S336" s="233"/>
      <c r="T336" s="233"/>
      <c r="U336" s="233"/>
      <c r="V336" s="233"/>
      <c r="W336" s="233"/>
      <c r="X336" s="233"/>
      <c r="Y336" s="233"/>
      <c r="Z336" s="233"/>
      <c r="AA336" s="233"/>
    </row>
    <row r="337" spans="4:27" s="139" customFormat="1">
      <c r="D337" s="191"/>
      <c r="N337" s="233"/>
      <c r="O337" s="233"/>
      <c r="P337" s="233"/>
      <c r="Q337" s="233"/>
      <c r="R337" s="303"/>
      <c r="S337" s="233"/>
      <c r="T337" s="233"/>
      <c r="U337" s="233"/>
      <c r="V337" s="233"/>
      <c r="W337" s="233"/>
      <c r="X337" s="233"/>
      <c r="Y337" s="233"/>
      <c r="Z337" s="233"/>
      <c r="AA337" s="233"/>
    </row>
    <row r="338" spans="4:27" s="139" customFormat="1">
      <c r="D338" s="191"/>
      <c r="N338" s="233"/>
      <c r="O338" s="233"/>
      <c r="P338" s="233"/>
      <c r="Q338" s="233"/>
      <c r="R338" s="303"/>
      <c r="S338" s="233"/>
      <c r="T338" s="233"/>
      <c r="U338" s="233"/>
      <c r="V338" s="233"/>
      <c r="W338" s="233"/>
      <c r="X338" s="233"/>
      <c r="Y338" s="233"/>
      <c r="Z338" s="233"/>
      <c r="AA338" s="233"/>
    </row>
    <row r="339" spans="4:27" s="139" customFormat="1">
      <c r="D339" s="191"/>
      <c r="N339" s="233"/>
      <c r="O339" s="233"/>
      <c r="P339" s="233"/>
      <c r="Q339" s="233"/>
      <c r="R339" s="303"/>
      <c r="S339" s="233"/>
      <c r="T339" s="233"/>
      <c r="U339" s="233"/>
      <c r="V339" s="233"/>
      <c r="W339" s="233"/>
      <c r="X339" s="233"/>
      <c r="Y339" s="233"/>
      <c r="Z339" s="233"/>
      <c r="AA339" s="233"/>
    </row>
    <row r="340" spans="4:27" s="139" customFormat="1">
      <c r="D340" s="191"/>
      <c r="N340" s="233"/>
      <c r="O340" s="233"/>
      <c r="P340" s="233"/>
      <c r="Q340" s="233"/>
      <c r="R340" s="303"/>
      <c r="S340" s="233"/>
      <c r="T340" s="233"/>
      <c r="U340" s="233"/>
      <c r="V340" s="233"/>
      <c r="W340" s="233"/>
      <c r="X340" s="233"/>
      <c r="Y340" s="233"/>
      <c r="Z340" s="233"/>
      <c r="AA340" s="233"/>
    </row>
    <row r="341" spans="4:27" s="139" customFormat="1">
      <c r="D341" s="191"/>
      <c r="N341" s="233"/>
      <c r="O341" s="233"/>
      <c r="P341" s="233"/>
      <c r="Q341" s="233"/>
      <c r="R341" s="303"/>
      <c r="S341" s="233"/>
      <c r="T341" s="233"/>
      <c r="U341" s="233"/>
      <c r="V341" s="233"/>
      <c r="W341" s="233"/>
      <c r="X341" s="233"/>
      <c r="Y341" s="233"/>
      <c r="Z341" s="233"/>
      <c r="AA341" s="233"/>
    </row>
    <row r="342" spans="4:27" s="139" customFormat="1">
      <c r="D342" s="191"/>
      <c r="N342" s="233"/>
      <c r="O342" s="233"/>
      <c r="P342" s="233"/>
      <c r="Q342" s="233"/>
      <c r="R342" s="303"/>
      <c r="S342" s="233"/>
      <c r="T342" s="233"/>
      <c r="U342" s="233"/>
      <c r="V342" s="233"/>
      <c r="W342" s="233"/>
      <c r="X342" s="233"/>
      <c r="Y342" s="233"/>
      <c r="Z342" s="233"/>
      <c r="AA342" s="233"/>
    </row>
    <row r="343" spans="4:27" s="139" customFormat="1">
      <c r="D343" s="191"/>
      <c r="N343" s="233"/>
      <c r="O343" s="233"/>
      <c r="P343" s="233"/>
      <c r="Q343" s="233"/>
      <c r="R343" s="303"/>
      <c r="S343" s="233"/>
      <c r="T343" s="233"/>
      <c r="U343" s="233"/>
      <c r="V343" s="233"/>
      <c r="W343" s="233"/>
      <c r="X343" s="233"/>
      <c r="Y343" s="233"/>
      <c r="Z343" s="233"/>
      <c r="AA343" s="233"/>
    </row>
    <row r="344" spans="4:27" s="139" customFormat="1">
      <c r="D344" s="191"/>
      <c r="N344" s="233"/>
      <c r="O344" s="233"/>
      <c r="P344" s="233"/>
      <c r="Q344" s="233"/>
      <c r="R344" s="303"/>
      <c r="S344" s="233"/>
      <c r="T344" s="233"/>
      <c r="U344" s="233"/>
      <c r="V344" s="233"/>
      <c r="W344" s="233"/>
      <c r="X344" s="233"/>
      <c r="Y344" s="233"/>
      <c r="Z344" s="233"/>
      <c r="AA344" s="233"/>
    </row>
    <row r="345" spans="4:27" s="139" customFormat="1">
      <c r="D345" s="191"/>
      <c r="N345" s="233"/>
      <c r="O345" s="233"/>
      <c r="P345" s="233"/>
      <c r="Q345" s="233"/>
      <c r="R345" s="303"/>
      <c r="S345" s="233"/>
      <c r="T345" s="233"/>
      <c r="U345" s="233"/>
      <c r="V345" s="233"/>
      <c r="W345" s="233"/>
      <c r="X345" s="233"/>
      <c r="Y345" s="233"/>
      <c r="Z345" s="233"/>
      <c r="AA345" s="233"/>
    </row>
    <row r="346" spans="4:27" s="139" customFormat="1">
      <c r="D346" s="191"/>
      <c r="N346" s="233"/>
      <c r="O346" s="233"/>
      <c r="P346" s="233"/>
      <c r="Q346" s="233"/>
      <c r="R346" s="303"/>
      <c r="S346" s="233"/>
      <c r="T346" s="233"/>
      <c r="U346" s="233"/>
      <c r="V346" s="233"/>
      <c r="W346" s="233"/>
      <c r="X346" s="233"/>
      <c r="Y346" s="233"/>
      <c r="Z346" s="233"/>
      <c r="AA346" s="233"/>
    </row>
    <row r="347" spans="4:27" s="139" customFormat="1">
      <c r="D347" s="191"/>
      <c r="N347" s="233"/>
      <c r="O347" s="233"/>
      <c r="P347" s="233"/>
      <c r="Q347" s="233"/>
      <c r="R347" s="303"/>
      <c r="S347" s="233"/>
      <c r="T347" s="233"/>
      <c r="U347" s="233"/>
      <c r="V347" s="233"/>
      <c r="W347" s="233"/>
      <c r="X347" s="233"/>
      <c r="Y347" s="233"/>
      <c r="Z347" s="233"/>
      <c r="AA347" s="233"/>
    </row>
    <row r="348" spans="4:27" s="139" customFormat="1">
      <c r="D348" s="191"/>
      <c r="N348" s="233"/>
      <c r="O348" s="233"/>
      <c r="P348" s="233"/>
      <c r="Q348" s="233"/>
      <c r="R348" s="303"/>
      <c r="S348" s="233"/>
      <c r="T348" s="233"/>
      <c r="U348" s="233"/>
      <c r="V348" s="233"/>
      <c r="W348" s="233"/>
      <c r="X348" s="233"/>
      <c r="Y348" s="233"/>
      <c r="Z348" s="233"/>
      <c r="AA348" s="233"/>
    </row>
    <row r="349" spans="4:27" s="139" customFormat="1">
      <c r="D349" s="191"/>
      <c r="N349" s="233"/>
      <c r="O349" s="233"/>
      <c r="P349" s="233"/>
      <c r="Q349" s="233"/>
      <c r="R349" s="303"/>
      <c r="S349" s="233"/>
      <c r="T349" s="233"/>
      <c r="U349" s="233"/>
      <c r="V349" s="233"/>
      <c r="W349" s="233"/>
      <c r="X349" s="233"/>
      <c r="Y349" s="233"/>
      <c r="Z349" s="233"/>
      <c r="AA349" s="233"/>
    </row>
    <row r="350" spans="4:27" s="139" customFormat="1">
      <c r="D350" s="191"/>
      <c r="N350" s="233"/>
      <c r="O350" s="233"/>
      <c r="P350" s="233"/>
      <c r="Q350" s="233"/>
      <c r="R350" s="303"/>
      <c r="S350" s="233"/>
      <c r="T350" s="233"/>
      <c r="U350" s="233"/>
      <c r="V350" s="233"/>
      <c r="W350" s="233"/>
      <c r="X350" s="233"/>
      <c r="Y350" s="233"/>
      <c r="Z350" s="233"/>
      <c r="AA350" s="233"/>
    </row>
    <row r="351" spans="4:27" s="139" customFormat="1">
      <c r="D351" s="191"/>
      <c r="N351" s="233"/>
      <c r="O351" s="233"/>
      <c r="P351" s="233"/>
      <c r="Q351" s="233"/>
      <c r="R351" s="303"/>
      <c r="S351" s="233"/>
      <c r="T351" s="233"/>
      <c r="U351" s="233"/>
      <c r="V351" s="233"/>
      <c r="W351" s="233"/>
      <c r="X351" s="233"/>
      <c r="Y351" s="233"/>
      <c r="Z351" s="233"/>
      <c r="AA351" s="233"/>
    </row>
    <row r="352" spans="4:27" s="139" customFormat="1">
      <c r="D352" s="191"/>
      <c r="N352" s="233"/>
      <c r="O352" s="233"/>
      <c r="P352" s="233"/>
      <c r="Q352" s="233"/>
      <c r="R352" s="303"/>
      <c r="S352" s="233"/>
      <c r="T352" s="233"/>
      <c r="U352" s="233"/>
      <c r="V352" s="233"/>
      <c r="W352" s="233"/>
      <c r="X352" s="233"/>
      <c r="Y352" s="233"/>
      <c r="Z352" s="233"/>
      <c r="AA352" s="233"/>
    </row>
    <row r="353" spans="4:27" s="139" customFormat="1">
      <c r="D353" s="191"/>
      <c r="N353" s="233"/>
      <c r="O353" s="233"/>
      <c r="P353" s="233"/>
      <c r="Q353" s="233"/>
      <c r="R353" s="303"/>
      <c r="S353" s="233"/>
      <c r="T353" s="233"/>
      <c r="U353" s="233"/>
      <c r="V353" s="233"/>
      <c r="W353" s="233"/>
      <c r="X353" s="233"/>
      <c r="Y353" s="233"/>
      <c r="Z353" s="233"/>
      <c r="AA353" s="233"/>
    </row>
    <row r="354" spans="4:27" s="139" customFormat="1">
      <c r="D354" s="191"/>
      <c r="N354" s="233"/>
      <c r="O354" s="233"/>
      <c r="P354" s="233"/>
      <c r="Q354" s="233"/>
      <c r="R354" s="303"/>
      <c r="S354" s="233"/>
      <c r="T354" s="233"/>
      <c r="U354" s="233"/>
      <c r="V354" s="233"/>
      <c r="W354" s="233"/>
      <c r="X354" s="233"/>
      <c r="Y354" s="233"/>
      <c r="Z354" s="233"/>
      <c r="AA354" s="233"/>
    </row>
    <row r="355" spans="4:27" s="139" customFormat="1">
      <c r="D355" s="191"/>
      <c r="N355" s="233"/>
      <c r="O355" s="233"/>
      <c r="P355" s="233"/>
      <c r="Q355" s="233"/>
      <c r="R355" s="303"/>
      <c r="S355" s="233"/>
      <c r="T355" s="233"/>
      <c r="U355" s="233"/>
      <c r="V355" s="233"/>
      <c r="W355" s="233"/>
      <c r="X355" s="233"/>
      <c r="Y355" s="233"/>
      <c r="Z355" s="233"/>
      <c r="AA355" s="233"/>
    </row>
    <row r="356" spans="4:27" s="139" customFormat="1">
      <c r="D356" s="191"/>
      <c r="N356" s="233"/>
      <c r="O356" s="233"/>
      <c r="P356" s="233"/>
      <c r="Q356" s="233"/>
      <c r="R356" s="303"/>
      <c r="S356" s="233"/>
      <c r="T356" s="233"/>
      <c r="U356" s="233"/>
      <c r="V356" s="233"/>
      <c r="W356" s="233"/>
      <c r="X356" s="233"/>
      <c r="Y356" s="233"/>
      <c r="Z356" s="233"/>
      <c r="AA356" s="233"/>
    </row>
    <row r="357" spans="4:27" s="139" customFormat="1">
      <c r="D357" s="191"/>
      <c r="N357" s="233"/>
      <c r="O357" s="233"/>
      <c r="P357" s="233"/>
      <c r="Q357" s="233"/>
      <c r="R357" s="303"/>
      <c r="S357" s="233"/>
      <c r="T357" s="233"/>
      <c r="U357" s="233"/>
      <c r="V357" s="233"/>
      <c r="W357" s="233"/>
      <c r="X357" s="233"/>
      <c r="Y357" s="233"/>
      <c r="Z357" s="233"/>
      <c r="AA357" s="233"/>
    </row>
    <row r="358" spans="4:27" s="139" customFormat="1">
      <c r="D358" s="191"/>
      <c r="N358" s="233"/>
      <c r="O358" s="233"/>
      <c r="P358" s="233"/>
      <c r="Q358" s="233"/>
      <c r="R358" s="303"/>
      <c r="S358" s="233"/>
      <c r="T358" s="233"/>
      <c r="U358" s="233"/>
      <c r="V358" s="233"/>
      <c r="W358" s="233"/>
      <c r="X358" s="233"/>
      <c r="Y358" s="233"/>
      <c r="Z358" s="233"/>
      <c r="AA358" s="233"/>
    </row>
    <row r="359" spans="4:27" s="139" customFormat="1">
      <c r="D359" s="191"/>
      <c r="N359" s="233"/>
      <c r="O359" s="233"/>
      <c r="P359" s="233"/>
      <c r="Q359" s="233"/>
      <c r="R359" s="303"/>
      <c r="S359" s="233"/>
      <c r="T359" s="233"/>
      <c r="U359" s="233"/>
      <c r="V359" s="233"/>
      <c r="W359" s="233"/>
      <c r="X359" s="233"/>
      <c r="Y359" s="233"/>
      <c r="Z359" s="233"/>
      <c r="AA359" s="233"/>
    </row>
    <row r="360" spans="4:27" s="139" customFormat="1">
      <c r="D360" s="191"/>
      <c r="N360" s="233"/>
      <c r="O360" s="233"/>
      <c r="P360" s="233"/>
      <c r="Q360" s="233"/>
      <c r="R360" s="303"/>
      <c r="S360" s="233"/>
      <c r="T360" s="233"/>
      <c r="U360" s="233"/>
      <c r="V360" s="233"/>
      <c r="W360" s="233"/>
      <c r="X360" s="233"/>
      <c r="Y360" s="233"/>
      <c r="Z360" s="233"/>
      <c r="AA360" s="233"/>
    </row>
    <row r="361" spans="4:27" s="139" customFormat="1">
      <c r="D361" s="191"/>
      <c r="N361" s="233"/>
      <c r="O361" s="233"/>
      <c r="P361" s="233"/>
      <c r="Q361" s="233"/>
      <c r="R361" s="303"/>
      <c r="S361" s="233"/>
      <c r="T361" s="233"/>
      <c r="U361" s="233"/>
      <c r="V361" s="233"/>
      <c r="W361" s="233"/>
      <c r="X361" s="233"/>
      <c r="Y361" s="233"/>
      <c r="Z361" s="233"/>
      <c r="AA361" s="233"/>
    </row>
    <row r="362" spans="4:27" s="139" customFormat="1">
      <c r="D362" s="191"/>
      <c r="N362" s="233"/>
      <c r="O362" s="233"/>
      <c r="P362" s="233"/>
      <c r="Q362" s="233"/>
      <c r="R362" s="303"/>
      <c r="S362" s="233"/>
      <c r="T362" s="233"/>
      <c r="U362" s="233"/>
      <c r="V362" s="233"/>
      <c r="W362" s="233"/>
      <c r="X362" s="233"/>
      <c r="Y362" s="233"/>
      <c r="Z362" s="233"/>
      <c r="AA362" s="233"/>
    </row>
    <row r="363" spans="4:27" s="139" customFormat="1">
      <c r="D363" s="191"/>
      <c r="N363" s="233"/>
      <c r="O363" s="233"/>
      <c r="P363" s="233"/>
      <c r="Q363" s="233"/>
      <c r="R363" s="303"/>
      <c r="S363" s="233"/>
      <c r="T363" s="233"/>
      <c r="U363" s="233"/>
      <c r="V363" s="233"/>
      <c r="W363" s="233"/>
      <c r="X363" s="233"/>
      <c r="Y363" s="233"/>
      <c r="Z363" s="233"/>
      <c r="AA363" s="233"/>
    </row>
    <row r="364" spans="4:27" s="139" customFormat="1">
      <c r="D364" s="191"/>
      <c r="N364" s="233"/>
      <c r="O364" s="233"/>
      <c r="P364" s="233"/>
      <c r="Q364" s="233"/>
      <c r="R364" s="303"/>
      <c r="S364" s="233"/>
      <c r="T364" s="233"/>
      <c r="U364" s="233"/>
      <c r="V364" s="233"/>
      <c r="W364" s="233"/>
      <c r="X364" s="233"/>
      <c r="Y364" s="233"/>
      <c r="Z364" s="233"/>
      <c r="AA364" s="233"/>
    </row>
    <row r="365" spans="4:27" s="139" customFormat="1">
      <c r="D365" s="191"/>
      <c r="N365" s="233"/>
      <c r="O365" s="233"/>
      <c r="P365" s="233"/>
      <c r="Q365" s="233"/>
      <c r="R365" s="303"/>
      <c r="S365" s="233"/>
      <c r="T365" s="233"/>
      <c r="U365" s="233"/>
      <c r="V365" s="233"/>
      <c r="W365" s="233"/>
      <c r="X365" s="233"/>
      <c r="Y365" s="233"/>
      <c r="Z365" s="233"/>
      <c r="AA365" s="233"/>
    </row>
    <row r="366" spans="4:27" s="139" customFormat="1">
      <c r="D366" s="191"/>
      <c r="N366" s="233"/>
      <c r="O366" s="233"/>
      <c r="P366" s="233"/>
      <c r="Q366" s="233"/>
      <c r="R366" s="303"/>
      <c r="S366" s="233"/>
      <c r="T366" s="233"/>
      <c r="U366" s="233"/>
      <c r="V366" s="233"/>
      <c r="W366" s="233"/>
      <c r="X366" s="233"/>
      <c r="Y366" s="233"/>
      <c r="Z366" s="233"/>
      <c r="AA366" s="233"/>
    </row>
    <row r="367" spans="4:27" s="139" customFormat="1">
      <c r="D367" s="191"/>
      <c r="N367" s="233"/>
      <c r="O367" s="233"/>
      <c r="P367" s="233"/>
      <c r="Q367" s="233"/>
      <c r="R367" s="303"/>
      <c r="S367" s="233"/>
      <c r="T367" s="233"/>
      <c r="U367" s="233"/>
      <c r="V367" s="233"/>
      <c r="W367" s="233"/>
      <c r="X367" s="233"/>
      <c r="Y367" s="233"/>
      <c r="Z367" s="233"/>
      <c r="AA367" s="233"/>
    </row>
    <row r="368" spans="4:27" s="139" customFormat="1">
      <c r="D368" s="191"/>
      <c r="N368" s="233"/>
      <c r="O368" s="233"/>
      <c r="P368" s="233"/>
      <c r="Q368" s="233"/>
      <c r="R368" s="303"/>
      <c r="S368" s="233"/>
      <c r="T368" s="233"/>
      <c r="U368" s="233"/>
      <c r="V368" s="233"/>
      <c r="W368" s="233"/>
      <c r="X368" s="233"/>
      <c r="Y368" s="233"/>
      <c r="Z368" s="233"/>
      <c r="AA368" s="233"/>
    </row>
    <row r="369" spans="4:27" s="139" customFormat="1">
      <c r="D369" s="191"/>
      <c r="N369" s="233"/>
      <c r="O369" s="233"/>
      <c r="P369" s="233"/>
      <c r="Q369" s="233"/>
      <c r="R369" s="303"/>
      <c r="S369" s="233"/>
      <c r="T369" s="233"/>
      <c r="U369" s="233"/>
      <c r="V369" s="233"/>
      <c r="W369" s="233"/>
      <c r="X369" s="233"/>
      <c r="Y369" s="233"/>
      <c r="Z369" s="233"/>
      <c r="AA369" s="233"/>
    </row>
    <row r="370" spans="4:27" s="139" customFormat="1">
      <c r="D370" s="191"/>
      <c r="N370" s="233"/>
      <c r="O370" s="233"/>
      <c r="P370" s="233"/>
      <c r="Q370" s="233"/>
      <c r="R370" s="303"/>
      <c r="S370" s="233"/>
      <c r="T370" s="233"/>
      <c r="U370" s="233"/>
      <c r="V370" s="233"/>
      <c r="W370" s="233"/>
      <c r="X370" s="233"/>
      <c r="Y370" s="233"/>
      <c r="Z370" s="233"/>
      <c r="AA370" s="233"/>
    </row>
    <row r="371" spans="4:27" s="139" customFormat="1">
      <c r="D371" s="191"/>
      <c r="N371" s="233"/>
      <c r="O371" s="233"/>
      <c r="P371" s="233"/>
      <c r="Q371" s="233"/>
      <c r="R371" s="303"/>
      <c r="S371" s="233"/>
      <c r="T371" s="233"/>
      <c r="U371" s="233"/>
      <c r="V371" s="233"/>
      <c r="W371" s="233"/>
      <c r="X371" s="233"/>
      <c r="Y371" s="233"/>
      <c r="Z371" s="233"/>
      <c r="AA371" s="233"/>
    </row>
    <row r="372" spans="4:27" s="139" customFormat="1">
      <c r="D372" s="191"/>
      <c r="N372" s="233"/>
      <c r="O372" s="233"/>
      <c r="P372" s="233"/>
      <c r="Q372" s="233"/>
      <c r="R372" s="303"/>
      <c r="S372" s="233"/>
      <c r="T372" s="233"/>
      <c r="U372" s="233"/>
      <c r="V372" s="233"/>
      <c r="W372" s="233"/>
      <c r="X372" s="233"/>
      <c r="Y372" s="233"/>
      <c r="Z372" s="233"/>
      <c r="AA372" s="233"/>
    </row>
    <row r="373" spans="4:27" s="139" customFormat="1">
      <c r="D373" s="191"/>
      <c r="N373" s="233"/>
      <c r="O373" s="233"/>
      <c r="P373" s="233"/>
      <c r="Q373" s="233"/>
      <c r="R373" s="303"/>
      <c r="S373" s="233"/>
      <c r="T373" s="233"/>
      <c r="U373" s="233"/>
      <c r="V373" s="233"/>
      <c r="W373" s="233"/>
      <c r="X373" s="233"/>
      <c r="Y373" s="233"/>
      <c r="Z373" s="233"/>
      <c r="AA373" s="233"/>
    </row>
    <row r="374" spans="4:27" s="139" customFormat="1">
      <c r="D374" s="191"/>
      <c r="N374" s="233"/>
      <c r="O374" s="233"/>
      <c r="P374" s="233"/>
      <c r="Q374" s="233"/>
      <c r="R374" s="303"/>
      <c r="S374" s="233"/>
      <c r="T374" s="233"/>
      <c r="U374" s="233"/>
      <c r="V374" s="233"/>
      <c r="W374" s="233"/>
      <c r="X374" s="233"/>
      <c r="Y374" s="233"/>
      <c r="Z374" s="233"/>
      <c r="AA374" s="233"/>
    </row>
    <row r="375" spans="4:27" s="139" customFormat="1">
      <c r="D375" s="191"/>
      <c r="N375" s="233"/>
      <c r="O375" s="233"/>
      <c r="P375" s="233"/>
      <c r="Q375" s="233"/>
      <c r="R375" s="303"/>
      <c r="S375" s="233"/>
      <c r="T375" s="233"/>
      <c r="U375" s="233"/>
      <c r="V375" s="233"/>
      <c r="W375" s="233"/>
      <c r="X375" s="233"/>
      <c r="Y375" s="233"/>
      <c r="Z375" s="233"/>
      <c r="AA375" s="233"/>
    </row>
    <row r="376" spans="4:27" s="139" customFormat="1">
      <c r="D376" s="191"/>
      <c r="N376" s="233"/>
      <c r="O376" s="233"/>
      <c r="P376" s="233"/>
      <c r="Q376" s="233"/>
      <c r="R376" s="303"/>
      <c r="S376" s="233"/>
      <c r="T376" s="233"/>
      <c r="U376" s="233"/>
      <c r="V376" s="233"/>
      <c r="W376" s="233"/>
      <c r="X376" s="233"/>
      <c r="Y376" s="233"/>
      <c r="Z376" s="233"/>
      <c r="AA376" s="233"/>
    </row>
    <row r="377" spans="4:27" s="139" customFormat="1">
      <c r="D377" s="191"/>
      <c r="N377" s="233"/>
      <c r="O377" s="233"/>
      <c r="P377" s="233"/>
      <c r="Q377" s="233"/>
      <c r="R377" s="303"/>
      <c r="S377" s="233"/>
      <c r="T377" s="233"/>
      <c r="U377" s="233"/>
      <c r="V377" s="233"/>
      <c r="W377" s="233"/>
      <c r="X377" s="233"/>
      <c r="Y377" s="233"/>
      <c r="Z377" s="233"/>
      <c r="AA377" s="233"/>
    </row>
    <row r="378" spans="4:27" s="139" customFormat="1">
      <c r="D378" s="191"/>
      <c r="N378" s="233"/>
      <c r="O378" s="233"/>
      <c r="P378" s="233"/>
      <c r="Q378" s="233"/>
      <c r="R378" s="303"/>
      <c r="S378" s="233"/>
      <c r="T378" s="233"/>
      <c r="U378" s="233"/>
      <c r="V378" s="233"/>
      <c r="W378" s="233"/>
      <c r="X378" s="233"/>
      <c r="Y378" s="233"/>
      <c r="Z378" s="233"/>
      <c r="AA378" s="233"/>
    </row>
    <row r="379" spans="4:27" s="139" customFormat="1">
      <c r="D379" s="191"/>
      <c r="N379" s="233"/>
      <c r="O379" s="233"/>
      <c r="P379" s="233"/>
      <c r="Q379" s="233"/>
      <c r="R379" s="303"/>
      <c r="S379" s="233"/>
      <c r="T379" s="233"/>
      <c r="U379" s="233"/>
      <c r="V379" s="233"/>
      <c r="W379" s="233"/>
      <c r="X379" s="233"/>
      <c r="Y379" s="233"/>
      <c r="Z379" s="233"/>
      <c r="AA379" s="233"/>
    </row>
    <row r="380" spans="4:27" s="139" customFormat="1">
      <c r="D380" s="191"/>
      <c r="N380" s="233"/>
      <c r="O380" s="233"/>
      <c r="P380" s="233"/>
      <c r="Q380" s="233"/>
      <c r="R380" s="303"/>
      <c r="S380" s="233"/>
      <c r="T380" s="233"/>
      <c r="U380" s="233"/>
      <c r="V380" s="233"/>
      <c r="W380" s="233"/>
      <c r="X380" s="233"/>
      <c r="Y380" s="233"/>
      <c r="Z380" s="233"/>
      <c r="AA380" s="233"/>
    </row>
    <row r="381" spans="4:27" s="139" customFormat="1">
      <c r="D381" s="191"/>
      <c r="N381" s="233"/>
      <c r="O381" s="233"/>
      <c r="P381" s="233"/>
      <c r="Q381" s="233"/>
      <c r="R381" s="303"/>
      <c r="S381" s="233"/>
      <c r="T381" s="233"/>
      <c r="U381" s="233"/>
      <c r="V381" s="233"/>
      <c r="W381" s="233"/>
      <c r="X381" s="233"/>
      <c r="Y381" s="233"/>
      <c r="Z381" s="233"/>
      <c r="AA381" s="233"/>
    </row>
    <row r="382" spans="4:27" s="139" customFormat="1">
      <c r="D382" s="191"/>
      <c r="N382" s="233"/>
      <c r="O382" s="233"/>
      <c r="P382" s="233"/>
      <c r="Q382" s="233"/>
      <c r="R382" s="303"/>
      <c r="S382" s="233"/>
      <c r="T382" s="233"/>
      <c r="U382" s="233"/>
      <c r="V382" s="233"/>
      <c r="W382" s="233"/>
      <c r="X382" s="233"/>
      <c r="Y382" s="233"/>
      <c r="Z382" s="233"/>
      <c r="AA382" s="233"/>
    </row>
    <row r="383" spans="4:27" s="139" customFormat="1">
      <c r="D383" s="191"/>
      <c r="N383" s="233"/>
      <c r="O383" s="233"/>
      <c r="P383" s="233"/>
      <c r="Q383" s="233"/>
      <c r="R383" s="303"/>
      <c r="S383" s="233"/>
      <c r="T383" s="233"/>
      <c r="U383" s="233"/>
      <c r="V383" s="233"/>
      <c r="W383" s="233"/>
      <c r="X383" s="233"/>
      <c r="Y383" s="233"/>
      <c r="Z383" s="233"/>
      <c r="AA383" s="233"/>
    </row>
    <row r="384" spans="4:27" s="139" customFormat="1">
      <c r="D384" s="191"/>
      <c r="N384" s="233"/>
      <c r="O384" s="233"/>
      <c r="P384" s="233"/>
      <c r="Q384" s="233"/>
      <c r="R384" s="303"/>
      <c r="S384" s="233"/>
      <c r="T384" s="233"/>
      <c r="U384" s="233"/>
      <c r="V384" s="233"/>
      <c r="W384" s="233"/>
      <c r="X384" s="233"/>
      <c r="Y384" s="233"/>
      <c r="Z384" s="233"/>
      <c r="AA384" s="233"/>
    </row>
    <row r="385" spans="4:27" s="139" customFormat="1">
      <c r="D385" s="191"/>
      <c r="N385" s="233"/>
      <c r="O385" s="233"/>
      <c r="P385" s="233"/>
      <c r="Q385" s="233"/>
      <c r="R385" s="303"/>
      <c r="S385" s="233"/>
      <c r="T385" s="233"/>
      <c r="U385" s="233"/>
      <c r="V385" s="233"/>
      <c r="W385" s="233"/>
      <c r="X385" s="233"/>
      <c r="Y385" s="233"/>
      <c r="Z385" s="233"/>
      <c r="AA385" s="233"/>
    </row>
    <row r="386" spans="4:27" s="139" customFormat="1">
      <c r="D386" s="191"/>
      <c r="N386" s="233"/>
      <c r="O386" s="233"/>
      <c r="P386" s="233"/>
      <c r="Q386" s="233"/>
      <c r="R386" s="303"/>
      <c r="S386" s="233"/>
      <c r="T386" s="233"/>
      <c r="U386" s="233"/>
      <c r="V386" s="233"/>
      <c r="W386" s="233"/>
      <c r="X386" s="233"/>
      <c r="Y386" s="233"/>
      <c r="Z386" s="233"/>
      <c r="AA386" s="233"/>
    </row>
    <row r="387" spans="4:27" s="139" customFormat="1">
      <c r="D387" s="191"/>
      <c r="N387" s="233"/>
      <c r="O387" s="233"/>
      <c r="P387" s="233"/>
      <c r="Q387" s="233"/>
      <c r="R387" s="303"/>
      <c r="S387" s="233"/>
      <c r="T387" s="233"/>
      <c r="U387" s="233"/>
      <c r="V387" s="233"/>
      <c r="W387" s="233"/>
      <c r="X387" s="233"/>
      <c r="Y387" s="233"/>
      <c r="Z387" s="233"/>
      <c r="AA387" s="233"/>
    </row>
    <row r="388" spans="4:27" s="139" customFormat="1">
      <c r="D388" s="191"/>
      <c r="N388" s="233"/>
      <c r="O388" s="233"/>
      <c r="P388" s="233"/>
      <c r="Q388" s="233"/>
      <c r="R388" s="303"/>
      <c r="S388" s="233"/>
      <c r="T388" s="233"/>
      <c r="U388" s="233"/>
      <c r="V388" s="233"/>
      <c r="W388" s="233"/>
      <c r="X388" s="233"/>
      <c r="Y388" s="233"/>
      <c r="Z388" s="233"/>
      <c r="AA388" s="233"/>
    </row>
    <row r="389" spans="4:27" s="139" customFormat="1">
      <c r="D389" s="191"/>
      <c r="N389" s="233"/>
      <c r="O389" s="233"/>
      <c r="P389" s="233"/>
      <c r="Q389" s="233"/>
      <c r="R389" s="303"/>
      <c r="S389" s="233"/>
      <c r="T389" s="233"/>
      <c r="U389" s="233"/>
      <c r="V389" s="233"/>
      <c r="W389" s="233"/>
      <c r="X389" s="233"/>
      <c r="Y389" s="233"/>
      <c r="Z389" s="233"/>
      <c r="AA389" s="233"/>
    </row>
    <row r="390" spans="4:27" s="139" customFormat="1">
      <c r="D390" s="191"/>
      <c r="N390" s="233"/>
      <c r="O390" s="233"/>
      <c r="P390" s="233"/>
      <c r="Q390" s="233"/>
      <c r="R390" s="303"/>
      <c r="S390" s="233"/>
      <c r="T390" s="233"/>
      <c r="U390" s="233"/>
      <c r="V390" s="233"/>
      <c r="W390" s="233"/>
      <c r="X390" s="233"/>
      <c r="Y390" s="233"/>
      <c r="Z390" s="233"/>
      <c r="AA390" s="233"/>
    </row>
    <row r="391" spans="4:27" s="139" customFormat="1">
      <c r="D391" s="191"/>
      <c r="N391" s="233"/>
      <c r="O391" s="233"/>
      <c r="P391" s="233"/>
      <c r="Q391" s="233"/>
      <c r="R391" s="303"/>
      <c r="S391" s="233"/>
      <c r="T391" s="233"/>
      <c r="U391" s="233"/>
      <c r="V391" s="233"/>
      <c r="W391" s="233"/>
      <c r="X391" s="233"/>
      <c r="Y391" s="233"/>
      <c r="Z391" s="233"/>
      <c r="AA391" s="233"/>
    </row>
    <row r="392" spans="4:27" s="139" customFormat="1">
      <c r="D392" s="191"/>
      <c r="N392" s="233"/>
      <c r="O392" s="233"/>
      <c r="P392" s="233"/>
      <c r="Q392" s="233"/>
      <c r="R392" s="303"/>
      <c r="S392" s="233"/>
      <c r="T392" s="233"/>
      <c r="U392" s="233"/>
      <c r="V392" s="233"/>
      <c r="W392" s="233"/>
      <c r="X392" s="233"/>
      <c r="Y392" s="233"/>
      <c r="Z392" s="233"/>
      <c r="AA392" s="233"/>
    </row>
    <row r="393" spans="4:27" s="139" customFormat="1">
      <c r="D393" s="191"/>
      <c r="N393" s="233"/>
      <c r="O393" s="233"/>
      <c r="P393" s="233"/>
      <c r="Q393" s="233"/>
      <c r="R393" s="303"/>
      <c r="S393" s="233"/>
      <c r="T393" s="233"/>
      <c r="U393" s="233"/>
      <c r="V393" s="233"/>
      <c r="W393" s="233"/>
      <c r="X393" s="233"/>
      <c r="Y393" s="233"/>
      <c r="Z393" s="233"/>
      <c r="AA393" s="233"/>
    </row>
    <row r="394" spans="4:27" s="139" customFormat="1">
      <c r="D394" s="191"/>
      <c r="N394" s="233"/>
      <c r="O394" s="233"/>
      <c r="P394" s="233"/>
      <c r="Q394" s="233"/>
      <c r="R394" s="303"/>
      <c r="S394" s="233"/>
      <c r="T394" s="233"/>
      <c r="U394" s="233"/>
      <c r="V394" s="233"/>
      <c r="W394" s="233"/>
      <c r="X394" s="233"/>
      <c r="Y394" s="233"/>
      <c r="Z394" s="233"/>
      <c r="AA394" s="233"/>
    </row>
    <row r="395" spans="4:27" s="139" customFormat="1">
      <c r="D395" s="191"/>
      <c r="N395" s="233"/>
      <c r="O395" s="233"/>
      <c r="P395" s="233"/>
      <c r="Q395" s="233"/>
      <c r="R395" s="303"/>
      <c r="S395" s="233"/>
      <c r="T395" s="233"/>
      <c r="U395" s="233"/>
      <c r="V395" s="233"/>
      <c r="W395" s="233"/>
      <c r="X395" s="233"/>
      <c r="Y395" s="233"/>
      <c r="Z395" s="233"/>
      <c r="AA395" s="233"/>
    </row>
    <row r="396" spans="4:27" s="139" customFormat="1">
      <c r="D396" s="191"/>
      <c r="N396" s="233"/>
      <c r="O396" s="233"/>
      <c r="P396" s="233"/>
      <c r="Q396" s="233"/>
      <c r="R396" s="303"/>
      <c r="S396" s="233"/>
      <c r="T396" s="233"/>
      <c r="U396" s="233"/>
      <c r="V396" s="233"/>
      <c r="W396" s="233"/>
      <c r="X396" s="233"/>
      <c r="Y396" s="233"/>
      <c r="Z396" s="233"/>
      <c r="AA396" s="233"/>
    </row>
    <row r="397" spans="4:27" s="139" customFormat="1">
      <c r="D397" s="191"/>
      <c r="N397" s="233"/>
      <c r="O397" s="233"/>
      <c r="P397" s="233"/>
      <c r="Q397" s="233"/>
      <c r="R397" s="303"/>
      <c r="S397" s="233"/>
      <c r="T397" s="233"/>
      <c r="U397" s="233"/>
      <c r="V397" s="233"/>
      <c r="W397" s="233"/>
      <c r="X397" s="233"/>
      <c r="Y397" s="233"/>
      <c r="Z397" s="233"/>
      <c r="AA397" s="233"/>
    </row>
    <row r="398" spans="4:27" s="139" customFormat="1">
      <c r="D398" s="191"/>
      <c r="N398" s="233"/>
      <c r="O398" s="233"/>
      <c r="P398" s="233"/>
      <c r="Q398" s="233"/>
      <c r="R398" s="303"/>
      <c r="S398" s="233"/>
      <c r="T398" s="233"/>
      <c r="U398" s="233"/>
      <c r="V398" s="233"/>
      <c r="W398" s="233"/>
      <c r="X398" s="233"/>
      <c r="Y398" s="233"/>
      <c r="Z398" s="233"/>
      <c r="AA398" s="233"/>
    </row>
    <row r="399" spans="4:27" s="139" customFormat="1">
      <c r="D399" s="191"/>
      <c r="N399" s="233"/>
      <c r="O399" s="233"/>
      <c r="P399" s="233"/>
      <c r="Q399" s="233"/>
      <c r="R399" s="303"/>
      <c r="S399" s="233"/>
      <c r="T399" s="233"/>
      <c r="U399" s="233"/>
      <c r="V399" s="233"/>
      <c r="W399" s="233"/>
      <c r="X399" s="233"/>
      <c r="Y399" s="233"/>
      <c r="Z399" s="233"/>
      <c r="AA399" s="233"/>
    </row>
    <row r="400" spans="4:27" s="139" customFormat="1">
      <c r="D400" s="191"/>
      <c r="N400" s="233"/>
      <c r="O400" s="233"/>
      <c r="P400" s="233"/>
      <c r="Q400" s="233"/>
      <c r="R400" s="303"/>
      <c r="S400" s="233"/>
      <c r="T400" s="233"/>
      <c r="U400" s="233"/>
      <c r="V400" s="233"/>
      <c r="W400" s="233"/>
      <c r="X400" s="233"/>
      <c r="Y400" s="233"/>
      <c r="Z400" s="233"/>
      <c r="AA400" s="233"/>
    </row>
    <row r="401" spans="4:27" s="139" customFormat="1">
      <c r="D401" s="191"/>
      <c r="N401" s="233"/>
      <c r="O401" s="233"/>
      <c r="P401" s="233"/>
      <c r="Q401" s="233"/>
      <c r="R401" s="303"/>
      <c r="S401" s="233"/>
      <c r="T401" s="233"/>
      <c r="U401" s="233"/>
      <c r="V401" s="233"/>
      <c r="W401" s="233"/>
      <c r="X401" s="233"/>
      <c r="Y401" s="233"/>
      <c r="Z401" s="233"/>
      <c r="AA401" s="233"/>
    </row>
    <row r="402" spans="4:27" s="139" customFormat="1">
      <c r="D402" s="191"/>
      <c r="N402" s="233"/>
      <c r="O402" s="233"/>
      <c r="P402" s="233"/>
      <c r="Q402" s="233"/>
      <c r="R402" s="303"/>
      <c r="S402" s="233"/>
      <c r="T402" s="233"/>
      <c r="U402" s="233"/>
      <c r="V402" s="233"/>
      <c r="W402" s="233"/>
      <c r="X402" s="233"/>
      <c r="Y402" s="233"/>
      <c r="Z402" s="233"/>
      <c r="AA402" s="233"/>
    </row>
    <row r="403" spans="4:27" s="139" customFormat="1">
      <c r="D403" s="191"/>
      <c r="N403" s="233"/>
      <c r="O403" s="233"/>
      <c r="P403" s="233"/>
      <c r="Q403" s="233"/>
      <c r="R403" s="303"/>
      <c r="S403" s="233"/>
      <c r="T403" s="233"/>
      <c r="U403" s="233"/>
      <c r="V403" s="233"/>
      <c r="W403" s="233"/>
      <c r="X403" s="233"/>
      <c r="Y403" s="233"/>
      <c r="Z403" s="233"/>
      <c r="AA403" s="233"/>
    </row>
    <row r="404" spans="4:27" s="139" customFormat="1">
      <c r="D404" s="191"/>
      <c r="N404" s="233"/>
      <c r="O404" s="233"/>
      <c r="P404" s="233"/>
      <c r="Q404" s="233"/>
      <c r="R404" s="303"/>
      <c r="S404" s="233"/>
      <c r="T404" s="233"/>
      <c r="U404" s="233"/>
      <c r="V404" s="233"/>
      <c r="W404" s="233"/>
      <c r="X404" s="233"/>
      <c r="Y404" s="233"/>
      <c r="Z404" s="233"/>
      <c r="AA404" s="233"/>
    </row>
    <row r="405" spans="4:27" s="139" customFormat="1">
      <c r="D405" s="191"/>
      <c r="N405" s="233"/>
      <c r="O405" s="233"/>
      <c r="P405" s="233"/>
      <c r="Q405" s="233"/>
      <c r="R405" s="303"/>
      <c r="S405" s="233"/>
      <c r="T405" s="233"/>
      <c r="U405" s="233"/>
      <c r="V405" s="233"/>
      <c r="W405" s="233"/>
      <c r="X405" s="233"/>
      <c r="Y405" s="233"/>
      <c r="Z405" s="233"/>
      <c r="AA405" s="233"/>
    </row>
    <row r="406" spans="4:27" s="139" customFormat="1">
      <c r="D406" s="191"/>
      <c r="N406" s="233"/>
      <c r="O406" s="233"/>
      <c r="P406" s="233"/>
      <c r="Q406" s="233"/>
      <c r="R406" s="303"/>
      <c r="S406" s="233"/>
      <c r="T406" s="233"/>
      <c r="U406" s="233"/>
      <c r="V406" s="233"/>
      <c r="W406" s="233"/>
      <c r="X406" s="233"/>
      <c r="Y406" s="233"/>
      <c r="Z406" s="233"/>
      <c r="AA406" s="233"/>
    </row>
    <row r="407" spans="4:27" s="139" customFormat="1">
      <c r="D407" s="191"/>
      <c r="N407" s="233"/>
      <c r="O407" s="233"/>
      <c r="P407" s="233"/>
      <c r="Q407" s="233"/>
      <c r="R407" s="303"/>
      <c r="S407" s="233"/>
      <c r="T407" s="233"/>
      <c r="U407" s="233"/>
      <c r="V407" s="233"/>
      <c r="W407" s="233"/>
      <c r="X407" s="233"/>
      <c r="Y407" s="233"/>
      <c r="Z407" s="233"/>
      <c r="AA407" s="233"/>
    </row>
    <row r="408" spans="4:27" s="139" customFormat="1">
      <c r="D408" s="191"/>
      <c r="N408" s="233"/>
      <c r="O408" s="233"/>
      <c r="P408" s="233"/>
      <c r="Q408" s="233"/>
      <c r="R408" s="303"/>
      <c r="S408" s="233"/>
      <c r="T408" s="233"/>
      <c r="U408" s="233"/>
      <c r="V408" s="233"/>
      <c r="W408" s="233"/>
      <c r="X408" s="233"/>
      <c r="Y408" s="233"/>
      <c r="Z408" s="233"/>
      <c r="AA408" s="233"/>
    </row>
    <row r="409" spans="4:27" s="139" customFormat="1">
      <c r="D409" s="191"/>
      <c r="N409" s="233"/>
      <c r="O409" s="233"/>
      <c r="P409" s="233"/>
      <c r="Q409" s="233"/>
      <c r="R409" s="303"/>
      <c r="S409" s="233"/>
      <c r="T409" s="233"/>
      <c r="U409" s="233"/>
      <c r="V409" s="233"/>
      <c r="W409" s="233"/>
      <c r="X409" s="233"/>
      <c r="Y409" s="233"/>
      <c r="Z409" s="233"/>
      <c r="AA409" s="233"/>
    </row>
    <row r="410" spans="4:27" s="139" customFormat="1">
      <c r="D410" s="191"/>
      <c r="N410" s="233"/>
      <c r="O410" s="233"/>
      <c r="P410" s="233"/>
      <c r="Q410" s="233"/>
      <c r="R410" s="303"/>
      <c r="S410" s="233"/>
      <c r="T410" s="233"/>
      <c r="U410" s="233"/>
      <c r="V410" s="233"/>
      <c r="W410" s="233"/>
      <c r="X410" s="233"/>
      <c r="Y410" s="233"/>
      <c r="Z410" s="233"/>
      <c r="AA410" s="233"/>
    </row>
    <row r="411" spans="4:27" s="139" customFormat="1">
      <c r="D411" s="191"/>
      <c r="N411" s="233"/>
      <c r="O411" s="233"/>
      <c r="P411" s="233"/>
      <c r="Q411" s="233"/>
      <c r="R411" s="303"/>
      <c r="S411" s="233"/>
      <c r="T411" s="233"/>
      <c r="U411" s="233"/>
      <c r="V411" s="233"/>
      <c r="W411" s="233"/>
      <c r="X411" s="233"/>
      <c r="Y411" s="233"/>
      <c r="Z411" s="233"/>
      <c r="AA411" s="233"/>
    </row>
    <row r="412" spans="4:27" s="139" customFormat="1">
      <c r="D412" s="191"/>
      <c r="N412" s="233"/>
      <c r="O412" s="233"/>
      <c r="P412" s="233"/>
      <c r="Q412" s="233"/>
      <c r="R412" s="303"/>
      <c r="S412" s="233"/>
      <c r="T412" s="233"/>
      <c r="U412" s="233"/>
      <c r="V412" s="233"/>
      <c r="W412" s="233"/>
      <c r="X412" s="233"/>
      <c r="Y412" s="233"/>
      <c r="Z412" s="233"/>
      <c r="AA412" s="233"/>
    </row>
    <row r="413" spans="4:27" s="139" customFormat="1">
      <c r="D413" s="191"/>
      <c r="N413" s="233"/>
      <c r="O413" s="233"/>
      <c r="P413" s="233"/>
      <c r="Q413" s="233"/>
      <c r="R413" s="303"/>
      <c r="S413" s="233"/>
      <c r="T413" s="233"/>
      <c r="U413" s="233"/>
      <c r="V413" s="233"/>
      <c r="W413" s="233"/>
      <c r="X413" s="233"/>
      <c r="Y413" s="233"/>
      <c r="Z413" s="233"/>
      <c r="AA413" s="233"/>
    </row>
    <row r="414" spans="4:27" s="139" customFormat="1">
      <c r="D414" s="191"/>
      <c r="N414" s="233"/>
      <c r="O414" s="233"/>
      <c r="P414" s="233"/>
      <c r="Q414" s="233"/>
      <c r="R414" s="303"/>
      <c r="S414" s="233"/>
      <c r="T414" s="233"/>
      <c r="U414" s="233"/>
      <c r="V414" s="233"/>
      <c r="W414" s="233"/>
      <c r="X414" s="233"/>
      <c r="Y414" s="233"/>
      <c r="Z414" s="233"/>
      <c r="AA414" s="233"/>
    </row>
    <row r="415" spans="4:27" s="139" customFormat="1">
      <c r="D415" s="191"/>
      <c r="N415" s="233"/>
      <c r="O415" s="233"/>
      <c r="P415" s="233"/>
      <c r="Q415" s="233"/>
      <c r="R415" s="303"/>
      <c r="S415" s="233"/>
      <c r="T415" s="233"/>
      <c r="U415" s="233"/>
      <c r="V415" s="233"/>
      <c r="W415" s="233"/>
      <c r="X415" s="233"/>
      <c r="Y415" s="233"/>
      <c r="Z415" s="233"/>
      <c r="AA415" s="233"/>
    </row>
    <row r="416" spans="4:27" s="139" customFormat="1">
      <c r="D416" s="191"/>
      <c r="N416" s="233"/>
      <c r="O416" s="233"/>
      <c r="P416" s="233"/>
      <c r="Q416" s="233"/>
      <c r="R416" s="303"/>
      <c r="S416" s="233"/>
      <c r="T416" s="233"/>
      <c r="U416" s="233"/>
      <c r="V416" s="233"/>
      <c r="W416" s="233"/>
      <c r="X416" s="233"/>
      <c r="Y416" s="233"/>
      <c r="Z416" s="233"/>
      <c r="AA416" s="233"/>
    </row>
    <row r="417" spans="4:27" s="139" customFormat="1">
      <c r="D417" s="191"/>
      <c r="N417" s="233"/>
      <c r="O417" s="233"/>
      <c r="P417" s="233"/>
      <c r="Q417" s="233"/>
      <c r="R417" s="303"/>
      <c r="S417" s="233"/>
      <c r="T417" s="233"/>
      <c r="U417" s="233"/>
      <c r="V417" s="233"/>
      <c r="W417" s="233"/>
      <c r="X417" s="233"/>
      <c r="Y417" s="233"/>
      <c r="Z417" s="233"/>
      <c r="AA417" s="233"/>
    </row>
    <row r="418" spans="4:27" s="139" customFormat="1">
      <c r="D418" s="191"/>
      <c r="N418" s="233"/>
      <c r="O418" s="233"/>
      <c r="P418" s="233"/>
      <c r="Q418" s="233"/>
      <c r="R418" s="303"/>
      <c r="S418" s="233"/>
      <c r="T418" s="233"/>
      <c r="U418" s="233"/>
      <c r="V418" s="233"/>
      <c r="W418" s="233"/>
      <c r="X418" s="233"/>
      <c r="Y418" s="233"/>
      <c r="Z418" s="233"/>
      <c r="AA418" s="233"/>
    </row>
    <row r="419" spans="4:27" s="139" customFormat="1">
      <c r="D419" s="191"/>
      <c r="N419" s="233"/>
      <c r="O419" s="233"/>
      <c r="P419" s="233"/>
      <c r="Q419" s="233"/>
      <c r="R419" s="303"/>
      <c r="S419" s="233"/>
      <c r="T419" s="233"/>
      <c r="U419" s="233"/>
      <c r="V419" s="233"/>
      <c r="W419" s="233"/>
      <c r="X419" s="233"/>
      <c r="Y419" s="233"/>
      <c r="Z419" s="233"/>
      <c r="AA419" s="233"/>
    </row>
    <row r="420" spans="4:27" s="139" customFormat="1">
      <c r="D420" s="191"/>
      <c r="N420" s="233"/>
      <c r="O420" s="233"/>
      <c r="P420" s="233"/>
      <c r="Q420" s="233"/>
      <c r="R420" s="303"/>
      <c r="S420" s="233"/>
      <c r="T420" s="233"/>
      <c r="U420" s="233"/>
      <c r="V420" s="233"/>
      <c r="W420" s="233"/>
      <c r="X420" s="233"/>
      <c r="Y420" s="233"/>
      <c r="Z420" s="233"/>
      <c r="AA420" s="233"/>
    </row>
    <row r="421" spans="4:27" s="139" customFormat="1">
      <c r="D421" s="191"/>
      <c r="N421" s="233"/>
      <c r="O421" s="233"/>
      <c r="P421" s="233"/>
      <c r="Q421" s="233"/>
      <c r="R421" s="303"/>
      <c r="S421" s="233"/>
      <c r="T421" s="233"/>
      <c r="U421" s="233"/>
      <c r="V421" s="233"/>
      <c r="W421" s="233"/>
      <c r="X421" s="233"/>
      <c r="Y421" s="233"/>
      <c r="Z421" s="233"/>
      <c r="AA421" s="233"/>
    </row>
    <row r="422" spans="4:27" s="139" customFormat="1">
      <c r="D422" s="191"/>
      <c r="N422" s="233"/>
      <c r="O422" s="233"/>
      <c r="P422" s="233"/>
      <c r="Q422" s="233"/>
      <c r="R422" s="303"/>
      <c r="S422" s="233"/>
      <c r="T422" s="233"/>
      <c r="U422" s="233"/>
      <c r="V422" s="233"/>
      <c r="W422" s="233"/>
      <c r="X422" s="233"/>
      <c r="Y422" s="233"/>
      <c r="Z422" s="233"/>
      <c r="AA422" s="233"/>
    </row>
    <row r="423" spans="4:27" s="139" customFormat="1">
      <c r="D423" s="191"/>
      <c r="N423" s="233"/>
      <c r="O423" s="233"/>
      <c r="P423" s="233"/>
      <c r="Q423" s="233"/>
      <c r="R423" s="303"/>
      <c r="S423" s="233"/>
      <c r="T423" s="233"/>
      <c r="U423" s="233"/>
      <c r="V423" s="233"/>
      <c r="W423" s="233"/>
      <c r="X423" s="233"/>
      <c r="Y423" s="233"/>
      <c r="Z423" s="233"/>
      <c r="AA423" s="233"/>
    </row>
    <row r="424" spans="4:27" s="139" customFormat="1">
      <c r="D424" s="191"/>
      <c r="N424" s="233"/>
      <c r="O424" s="233"/>
      <c r="P424" s="233"/>
      <c r="Q424" s="233"/>
      <c r="R424" s="303"/>
      <c r="S424" s="233"/>
      <c r="T424" s="233"/>
      <c r="U424" s="233"/>
      <c r="V424" s="233"/>
      <c r="W424" s="233"/>
      <c r="X424" s="233"/>
      <c r="Y424" s="233"/>
      <c r="Z424" s="233"/>
      <c r="AA424" s="233"/>
    </row>
    <row r="425" spans="4:27" s="139" customFormat="1">
      <c r="D425" s="191"/>
      <c r="N425" s="233"/>
      <c r="O425" s="233"/>
      <c r="P425" s="233"/>
      <c r="Q425" s="233"/>
      <c r="R425" s="303"/>
      <c r="S425" s="233"/>
      <c r="T425" s="233"/>
      <c r="U425" s="233"/>
      <c r="V425" s="233"/>
      <c r="W425" s="233"/>
      <c r="X425" s="233"/>
      <c r="Y425" s="233"/>
      <c r="Z425" s="233"/>
      <c r="AA425" s="233"/>
    </row>
    <row r="426" spans="4:27" s="139" customFormat="1">
      <c r="D426" s="191"/>
      <c r="N426" s="233"/>
      <c r="O426" s="233"/>
      <c r="P426" s="233"/>
      <c r="Q426" s="233"/>
      <c r="R426" s="303"/>
      <c r="S426" s="233"/>
      <c r="T426" s="233"/>
      <c r="U426" s="233"/>
      <c r="V426" s="233"/>
      <c r="W426" s="233"/>
      <c r="X426" s="233"/>
      <c r="Y426" s="233"/>
      <c r="Z426" s="233"/>
      <c r="AA426" s="233"/>
    </row>
    <row r="427" spans="4:27" s="139" customFormat="1">
      <c r="D427" s="191"/>
      <c r="N427" s="233"/>
      <c r="O427" s="233"/>
      <c r="P427" s="233"/>
      <c r="Q427" s="233"/>
      <c r="R427" s="303"/>
      <c r="S427" s="233"/>
      <c r="T427" s="233"/>
      <c r="U427" s="233"/>
      <c r="V427" s="233"/>
      <c r="W427" s="233"/>
      <c r="X427" s="233"/>
      <c r="Y427" s="233"/>
      <c r="Z427" s="233"/>
      <c r="AA427" s="233"/>
    </row>
    <row r="428" spans="4:27" s="139" customFormat="1">
      <c r="D428" s="191"/>
      <c r="N428" s="233"/>
      <c r="O428" s="233"/>
      <c r="P428" s="233"/>
      <c r="Q428" s="233"/>
      <c r="R428" s="303"/>
      <c r="S428" s="233"/>
      <c r="T428" s="233"/>
      <c r="U428" s="233"/>
      <c r="V428" s="233"/>
      <c r="W428" s="233"/>
      <c r="X428" s="233"/>
      <c r="Y428" s="233"/>
      <c r="Z428" s="233"/>
      <c r="AA428" s="233"/>
    </row>
    <row r="429" spans="4:27" s="139" customFormat="1">
      <c r="D429" s="191"/>
      <c r="N429" s="233"/>
      <c r="O429" s="233"/>
      <c r="P429" s="233"/>
      <c r="Q429" s="233"/>
      <c r="R429" s="303"/>
      <c r="S429" s="233"/>
      <c r="T429" s="233"/>
      <c r="U429" s="233"/>
      <c r="V429" s="233"/>
      <c r="W429" s="233"/>
      <c r="X429" s="233"/>
      <c r="Y429" s="233"/>
      <c r="Z429" s="233"/>
      <c r="AA429" s="233"/>
    </row>
    <row r="430" spans="4:27" s="139" customFormat="1">
      <c r="D430" s="191"/>
      <c r="N430" s="233"/>
      <c r="O430" s="233"/>
      <c r="P430" s="233"/>
      <c r="Q430" s="233"/>
      <c r="R430" s="303"/>
      <c r="S430" s="233"/>
      <c r="T430" s="233"/>
      <c r="U430" s="233"/>
      <c r="V430" s="233"/>
      <c r="W430" s="233"/>
      <c r="X430" s="233"/>
      <c r="Y430" s="233"/>
      <c r="Z430" s="233"/>
      <c r="AA430" s="233"/>
    </row>
    <row r="431" spans="4:27" s="139" customFormat="1">
      <c r="D431" s="191"/>
      <c r="N431" s="233"/>
      <c r="O431" s="233"/>
      <c r="P431" s="233"/>
      <c r="Q431" s="233"/>
      <c r="R431" s="303"/>
      <c r="S431" s="233"/>
      <c r="T431" s="233"/>
      <c r="U431" s="233"/>
      <c r="V431" s="233"/>
      <c r="W431" s="233"/>
      <c r="X431" s="233"/>
      <c r="Y431" s="233"/>
      <c r="Z431" s="233"/>
      <c r="AA431" s="233"/>
    </row>
    <row r="432" spans="4:27" s="139" customFormat="1">
      <c r="D432" s="191"/>
      <c r="N432" s="233"/>
      <c r="O432" s="233"/>
      <c r="P432" s="233"/>
      <c r="Q432" s="233"/>
      <c r="R432" s="303"/>
      <c r="S432" s="233"/>
      <c r="T432" s="233"/>
      <c r="U432" s="233"/>
      <c r="V432" s="233"/>
      <c r="W432" s="233"/>
      <c r="X432" s="233"/>
      <c r="Y432" s="233"/>
      <c r="Z432" s="233"/>
      <c r="AA432" s="233"/>
    </row>
    <row r="433" spans="3:27" s="139" customFormat="1">
      <c r="D433" s="191"/>
      <c r="N433" s="233"/>
      <c r="O433" s="233"/>
      <c r="P433" s="233"/>
      <c r="Q433" s="233"/>
      <c r="R433" s="303"/>
      <c r="S433" s="233"/>
      <c r="T433" s="233"/>
      <c r="U433" s="233"/>
      <c r="V433" s="233"/>
      <c r="W433" s="233"/>
      <c r="X433" s="233"/>
      <c r="Y433" s="233"/>
      <c r="Z433" s="233"/>
      <c r="AA433" s="233"/>
    </row>
    <row r="434" spans="3:27" s="139" customFormat="1">
      <c r="D434" s="191"/>
      <c r="N434" s="233"/>
      <c r="O434" s="233"/>
      <c r="P434" s="233"/>
      <c r="Q434" s="233"/>
      <c r="R434" s="303"/>
      <c r="S434" s="233"/>
      <c r="T434" s="233"/>
      <c r="U434" s="233"/>
      <c r="V434" s="233"/>
      <c r="W434" s="233"/>
      <c r="X434" s="233"/>
      <c r="Y434" s="233"/>
      <c r="Z434" s="233"/>
      <c r="AA434" s="233"/>
    </row>
    <row r="435" spans="3:27" s="139" customFormat="1">
      <c r="D435" s="191"/>
      <c r="N435" s="233"/>
      <c r="O435" s="233"/>
      <c r="P435" s="233"/>
      <c r="Q435" s="233"/>
      <c r="R435" s="303"/>
      <c r="S435" s="233"/>
      <c r="T435" s="233"/>
      <c r="U435" s="233"/>
      <c r="V435" s="233"/>
      <c r="W435" s="233"/>
      <c r="X435" s="233"/>
      <c r="Y435" s="233"/>
      <c r="Z435" s="233"/>
      <c r="AA435" s="233"/>
    </row>
    <row r="436" spans="3:27" s="139" customFormat="1">
      <c r="D436" s="191"/>
      <c r="N436" s="233"/>
      <c r="O436" s="233"/>
      <c r="P436" s="233"/>
      <c r="Q436" s="233"/>
      <c r="R436" s="303"/>
      <c r="S436" s="233"/>
      <c r="T436" s="233"/>
      <c r="U436" s="233"/>
      <c r="V436" s="233"/>
      <c r="W436" s="233"/>
      <c r="X436" s="233"/>
      <c r="Y436" s="233"/>
      <c r="Z436" s="233"/>
      <c r="AA436" s="233"/>
    </row>
    <row r="437" spans="3:27" s="139" customFormat="1">
      <c r="D437" s="191"/>
      <c r="N437" s="233"/>
      <c r="O437" s="233"/>
      <c r="P437" s="233"/>
      <c r="Q437" s="233"/>
      <c r="R437" s="303"/>
      <c r="S437" s="233"/>
      <c r="T437" s="233"/>
      <c r="U437" s="233"/>
      <c r="V437" s="233"/>
      <c r="W437" s="233"/>
      <c r="X437" s="233"/>
      <c r="Y437" s="233"/>
      <c r="Z437" s="233"/>
      <c r="AA437" s="233"/>
    </row>
    <row r="438" spans="3:27" s="139" customFormat="1">
      <c r="D438" s="191"/>
      <c r="N438" s="233"/>
      <c r="O438" s="233"/>
      <c r="P438" s="233"/>
      <c r="Q438" s="233"/>
      <c r="R438" s="303"/>
      <c r="S438" s="233"/>
      <c r="T438" s="233"/>
      <c r="U438" s="233"/>
      <c r="V438" s="233"/>
      <c r="W438" s="233"/>
      <c r="X438" s="233"/>
      <c r="Y438" s="233"/>
      <c r="Z438" s="233"/>
      <c r="AA438" s="233"/>
    </row>
    <row r="439" spans="3:27" s="139" customFormat="1">
      <c r="D439" s="191"/>
      <c r="N439" s="233"/>
      <c r="O439" s="233"/>
      <c r="P439" s="233"/>
      <c r="Q439" s="233"/>
      <c r="R439" s="303"/>
      <c r="S439" s="233"/>
      <c r="T439" s="233"/>
      <c r="U439" s="233"/>
      <c r="V439" s="233"/>
      <c r="W439" s="233"/>
      <c r="X439" s="233"/>
      <c r="Y439" s="233"/>
      <c r="Z439" s="233"/>
      <c r="AA439" s="233"/>
    </row>
    <row r="440" spans="3:27" s="139" customFormat="1">
      <c r="D440" s="191"/>
      <c r="N440" s="233"/>
      <c r="O440" s="233"/>
      <c r="P440" s="233"/>
      <c r="Q440" s="233"/>
      <c r="R440" s="303"/>
      <c r="S440" s="233"/>
      <c r="T440" s="233"/>
      <c r="U440" s="233"/>
      <c r="V440" s="233"/>
      <c r="W440" s="233"/>
      <c r="X440" s="233"/>
      <c r="Y440" s="233"/>
      <c r="Z440" s="233"/>
      <c r="AA440" s="233"/>
    </row>
    <row r="441" spans="3:27" s="139" customFormat="1">
      <c r="D441" s="191"/>
      <c r="N441" s="233"/>
      <c r="O441" s="233"/>
      <c r="P441" s="233"/>
      <c r="Q441" s="233"/>
      <c r="R441" s="303"/>
      <c r="S441" s="233"/>
      <c r="T441" s="233"/>
      <c r="U441" s="233"/>
      <c r="V441" s="233"/>
      <c r="W441" s="233"/>
      <c r="X441" s="233"/>
      <c r="Y441" s="233"/>
      <c r="Z441" s="233"/>
      <c r="AA441" s="233"/>
    </row>
    <row r="442" spans="3:27" s="139" customFormat="1">
      <c r="D442" s="191"/>
      <c r="N442" s="233"/>
      <c r="O442" s="233"/>
      <c r="P442" s="233"/>
      <c r="Q442" s="233"/>
      <c r="R442" s="303"/>
      <c r="S442" s="233"/>
      <c r="T442" s="233"/>
      <c r="U442" s="233"/>
      <c r="V442" s="233"/>
      <c r="W442" s="233"/>
      <c r="X442" s="233"/>
      <c r="Y442" s="233"/>
      <c r="Z442" s="233"/>
      <c r="AA442" s="233"/>
    </row>
    <row r="443" spans="3:27" s="139" customFormat="1">
      <c r="C443" s="1"/>
      <c r="D443" s="86"/>
      <c r="E443" s="1"/>
      <c r="F443" s="1"/>
      <c r="G443" s="1"/>
      <c r="H443" s="1"/>
      <c r="I443" s="1"/>
      <c r="J443" s="1"/>
      <c r="K443" s="1"/>
      <c r="L443" s="1"/>
      <c r="M443" s="110"/>
      <c r="N443" s="231"/>
      <c r="O443" s="231"/>
      <c r="P443" s="231"/>
      <c r="Q443" s="231"/>
      <c r="R443" s="232"/>
      <c r="S443" s="231"/>
      <c r="T443" s="304"/>
      <c r="U443" s="231"/>
      <c r="V443" s="231"/>
      <c r="W443" s="231"/>
      <c r="X443" s="231"/>
      <c r="Y443" s="231"/>
      <c r="Z443" s="231"/>
      <c r="AA443" s="304"/>
    </row>
    <row r="444" spans="3:27" s="139" customFormat="1">
      <c r="C444" s="1"/>
      <c r="D444" s="86"/>
      <c r="E444" s="1"/>
      <c r="F444" s="1"/>
      <c r="G444" s="1"/>
      <c r="H444" s="1"/>
      <c r="I444" s="1"/>
      <c r="J444" s="1"/>
      <c r="K444" s="1"/>
      <c r="L444" s="1"/>
      <c r="M444" s="110"/>
      <c r="N444" s="231"/>
      <c r="O444" s="231"/>
      <c r="P444" s="231"/>
      <c r="Q444" s="231"/>
      <c r="R444" s="232"/>
      <c r="S444" s="231"/>
      <c r="T444" s="304"/>
      <c r="U444" s="231"/>
      <c r="V444" s="231"/>
      <c r="W444" s="231"/>
      <c r="X444" s="231"/>
      <c r="Y444" s="231"/>
      <c r="Z444" s="231"/>
      <c r="AA444" s="304"/>
    </row>
    <row r="445" spans="3:27" s="139" customFormat="1">
      <c r="C445" s="1"/>
      <c r="D445" s="86"/>
      <c r="E445" s="1"/>
      <c r="F445" s="1"/>
      <c r="G445" s="1"/>
      <c r="H445" s="1"/>
      <c r="I445" s="1"/>
      <c r="J445" s="1"/>
      <c r="K445" s="1"/>
      <c r="L445" s="1"/>
      <c r="M445" s="110"/>
      <c r="N445" s="231"/>
      <c r="O445" s="231"/>
      <c r="P445" s="231"/>
      <c r="Q445" s="231"/>
      <c r="R445" s="232"/>
      <c r="S445" s="231"/>
      <c r="T445" s="304"/>
      <c r="U445" s="231"/>
      <c r="V445" s="231"/>
      <c r="W445" s="231"/>
      <c r="X445" s="231"/>
      <c r="Y445" s="231"/>
      <c r="Z445" s="231"/>
      <c r="AA445" s="304"/>
    </row>
    <row r="446" spans="3:27" s="139" customFormat="1">
      <c r="C446" s="1"/>
      <c r="D446" s="86"/>
      <c r="E446" s="1"/>
      <c r="F446" s="1"/>
      <c r="G446" s="1"/>
      <c r="H446" s="1"/>
      <c r="I446" s="1"/>
      <c r="J446" s="1"/>
      <c r="K446" s="1"/>
      <c r="L446" s="1"/>
      <c r="M446" s="110"/>
      <c r="N446" s="231"/>
      <c r="O446" s="231"/>
      <c r="P446" s="231"/>
      <c r="Q446" s="231"/>
      <c r="R446" s="232"/>
      <c r="S446" s="231"/>
      <c r="T446" s="304"/>
      <c r="U446" s="231"/>
      <c r="V446" s="231"/>
      <c r="W446" s="231"/>
      <c r="X446" s="231"/>
      <c r="Y446" s="231"/>
      <c r="Z446" s="231"/>
      <c r="AA446" s="304"/>
    </row>
  </sheetData>
  <mergeCells count="101">
    <mergeCell ref="O44:U44"/>
    <mergeCell ref="V44:X44"/>
    <mergeCell ref="F21:F22"/>
    <mergeCell ref="H21:J22"/>
    <mergeCell ref="Y42:AA42"/>
    <mergeCell ref="C15:C16"/>
    <mergeCell ref="C21:C22"/>
    <mergeCell ref="D21:D22"/>
    <mergeCell ref="D11:D12"/>
    <mergeCell ref="C17:C18"/>
    <mergeCell ref="D17:D18"/>
    <mergeCell ref="E21:E22"/>
    <mergeCell ref="D43:G43"/>
    <mergeCell ref="H43:J43"/>
    <mergeCell ref="C37:F38"/>
    <mergeCell ref="D33:D34"/>
    <mergeCell ref="E33:E34"/>
    <mergeCell ref="F33:F34"/>
    <mergeCell ref="Y44:AA44"/>
    <mergeCell ref="Y43:AA43"/>
    <mergeCell ref="K43:M43"/>
    <mergeCell ref="O43:U43"/>
    <mergeCell ref="V43:X43"/>
    <mergeCell ref="D44:G44"/>
    <mergeCell ref="Y46:AA46"/>
    <mergeCell ref="D45:G45"/>
    <mergeCell ref="H45:J45"/>
    <mergeCell ref="K45:M45"/>
    <mergeCell ref="O45:U45"/>
    <mergeCell ref="V45:X45"/>
    <mergeCell ref="Y45:AA45"/>
    <mergeCell ref="D46:G46"/>
    <mergeCell ref="H46:J46"/>
    <mergeCell ref="K46:M46"/>
    <mergeCell ref="O46:U46"/>
    <mergeCell ref="V46:X46"/>
    <mergeCell ref="H44:J44"/>
    <mergeCell ref="K44:M44"/>
    <mergeCell ref="C39:F40"/>
    <mergeCell ref="H42:J42"/>
    <mergeCell ref="K42:M42"/>
    <mergeCell ref="V42:X42"/>
    <mergeCell ref="H13:J14"/>
    <mergeCell ref="D15:D16"/>
    <mergeCell ref="E15:E16"/>
    <mergeCell ref="F15:F16"/>
    <mergeCell ref="H15:J16"/>
    <mergeCell ref="E17:E18"/>
    <mergeCell ref="F17:F18"/>
    <mergeCell ref="C19:C20"/>
    <mergeCell ref="D19:D20"/>
    <mergeCell ref="E19:E20"/>
    <mergeCell ref="F19:F20"/>
    <mergeCell ref="H19:J20"/>
    <mergeCell ref="E35:E36"/>
    <mergeCell ref="F35:F36"/>
    <mergeCell ref="C35:C36"/>
    <mergeCell ref="D35:D36"/>
    <mergeCell ref="C31:C32"/>
    <mergeCell ref="D31:D32"/>
    <mergeCell ref="C33:C34"/>
    <mergeCell ref="C9:C10"/>
    <mergeCell ref="D9:D10"/>
    <mergeCell ref="E9:E10"/>
    <mergeCell ref="F9:F10"/>
    <mergeCell ref="E11:E12"/>
    <mergeCell ref="F11:F12"/>
    <mergeCell ref="D13:D14"/>
    <mergeCell ref="E13:E14"/>
    <mergeCell ref="F13:F14"/>
    <mergeCell ref="C11:C12"/>
    <mergeCell ref="C13:C14"/>
    <mergeCell ref="C23:C24"/>
    <mergeCell ref="D23:D24"/>
    <mergeCell ref="E23:E24"/>
    <mergeCell ref="F23:F24"/>
    <mergeCell ref="C2:N2"/>
    <mergeCell ref="K3:R3"/>
    <mergeCell ref="C5:C6"/>
    <mergeCell ref="D5:D6"/>
    <mergeCell ref="E5:E6"/>
    <mergeCell ref="F5:F6"/>
    <mergeCell ref="C7:C8"/>
    <mergeCell ref="D7:D8"/>
    <mergeCell ref="E7:E8"/>
    <mergeCell ref="F7:F8"/>
    <mergeCell ref="H23:J24"/>
    <mergeCell ref="C25:C26"/>
    <mergeCell ref="F31:F32"/>
    <mergeCell ref="D25:D26"/>
    <mergeCell ref="E25:E26"/>
    <mergeCell ref="F25:F26"/>
    <mergeCell ref="C27:C28"/>
    <mergeCell ref="D27:D28"/>
    <mergeCell ref="E27:E28"/>
    <mergeCell ref="F27:F28"/>
    <mergeCell ref="C29:C30"/>
    <mergeCell ref="D29:D30"/>
    <mergeCell ref="E29:E30"/>
    <mergeCell ref="F29:F30"/>
    <mergeCell ref="E31:E32"/>
  </mergeCells>
  <phoneticPr fontId="10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A8B5-A49B-4B3F-8F55-913343440F98}">
  <dimension ref="B1:AK454"/>
  <sheetViews>
    <sheetView showGridLines="0" tabSelected="1" topLeftCell="L1" zoomScale="85" zoomScaleNormal="85" workbookViewId="0">
      <selection activeCell="V13" sqref="V13"/>
    </sheetView>
  </sheetViews>
  <sheetFormatPr defaultColWidth="8.85546875" defaultRowHeight="19.5"/>
  <cols>
    <col min="1" max="2" width="8.85546875" style="1"/>
    <col min="3" max="3" width="4.5703125" style="1" bestFit="1" customWidth="1"/>
    <col min="4" max="4" width="23.42578125" style="86" customWidth="1"/>
    <col min="5" max="5" width="15.28515625" style="1" bestFit="1" customWidth="1"/>
    <col min="6" max="6" width="15.7109375" style="1" customWidth="1"/>
    <col min="7" max="7" width="10" style="1" customWidth="1"/>
    <col min="8" max="9" width="13.85546875" style="1" customWidth="1"/>
    <col min="10" max="10" width="14.140625" style="1" customWidth="1"/>
    <col min="11" max="11" width="12.85546875" style="1" customWidth="1"/>
    <col min="12" max="12" width="15" style="1" customWidth="1"/>
    <col min="13" max="13" width="14.28515625" style="110" customWidth="1"/>
    <col min="14" max="14" width="16.28515625" style="231" customWidth="1"/>
    <col min="15" max="15" width="15" style="231" customWidth="1"/>
    <col min="16" max="16" width="14.7109375" style="231" customWidth="1"/>
    <col min="17" max="17" width="14.28515625" style="231" customWidth="1"/>
    <col min="18" max="18" width="12.140625" style="232" customWidth="1"/>
    <col min="19" max="19" width="19.42578125" style="231" customWidth="1"/>
    <col min="20" max="20" width="11" style="304" bestFit="1" customWidth="1"/>
    <col min="21" max="21" width="17.28515625" style="231" customWidth="1"/>
    <col min="22" max="22" width="14.28515625" style="231" customWidth="1"/>
    <col min="23" max="23" width="13.140625" style="231" customWidth="1"/>
    <col min="24" max="24" width="13.28515625" style="231" customWidth="1"/>
    <col min="25" max="25" width="14.140625" style="231" customWidth="1"/>
    <col min="26" max="26" width="15.140625" style="231" customWidth="1"/>
    <col min="27" max="27" width="14.28515625" style="304" customWidth="1"/>
    <col min="28" max="28" width="18.85546875" style="1" customWidth="1"/>
    <col min="29" max="29" width="14.85546875" style="1" customWidth="1"/>
    <col min="30" max="30" width="9.28515625" style="1" bestFit="1" customWidth="1"/>
    <col min="31" max="31" width="14.140625" style="1" customWidth="1"/>
    <col min="32" max="32" width="8.85546875" style="1"/>
    <col min="33" max="33" width="10" style="1" bestFit="1" customWidth="1"/>
    <col min="34" max="16384" width="8.85546875" style="1"/>
  </cols>
  <sheetData>
    <row r="1" spans="2:29" ht="38.25">
      <c r="C1" s="551" t="s">
        <v>0</v>
      </c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234"/>
      <c r="P1" s="234"/>
      <c r="Q1" s="234"/>
      <c r="R1" s="235"/>
      <c r="S1" s="236"/>
      <c r="T1" s="233"/>
      <c r="U1" s="236"/>
      <c r="V1" s="236"/>
      <c r="W1" s="236"/>
      <c r="X1" s="236"/>
      <c r="Y1" s="236"/>
      <c r="Z1" s="233"/>
      <c r="AA1" s="233"/>
      <c r="AB1" s="139"/>
    </row>
    <row r="2" spans="2:29" ht="25.5" thickBot="1">
      <c r="H2" s="532" t="s">
        <v>224</v>
      </c>
      <c r="I2" s="532" t="s">
        <v>224</v>
      </c>
      <c r="J2" s="532" t="s">
        <v>224</v>
      </c>
      <c r="K2" s="532" t="s">
        <v>224</v>
      </c>
      <c r="L2" s="533" t="s">
        <v>224</v>
      </c>
      <c r="M2" s="529"/>
      <c r="N2" s="532" t="s">
        <v>225</v>
      </c>
      <c r="O2" s="532" t="s">
        <v>225</v>
      </c>
      <c r="P2" s="532" t="s">
        <v>225</v>
      </c>
      <c r="Q2" s="532" t="s">
        <v>225</v>
      </c>
      <c r="R2" s="532" t="s">
        <v>225</v>
      </c>
      <c r="S2" s="533" t="s">
        <v>225</v>
      </c>
      <c r="T2" s="233" t="s">
        <v>126</v>
      </c>
      <c r="U2" s="530" t="s">
        <v>226</v>
      </c>
      <c r="V2" s="530" t="s">
        <v>226</v>
      </c>
      <c r="W2" s="530" t="s">
        <v>226</v>
      </c>
      <c r="X2" s="530" t="s">
        <v>226</v>
      </c>
      <c r="Y2" s="530" t="s">
        <v>226</v>
      </c>
      <c r="Z2" s="531" t="s">
        <v>226</v>
      </c>
      <c r="AA2" s="237" t="s">
        <v>127</v>
      </c>
      <c r="AB2" s="731"/>
      <c r="AC2" s="731"/>
    </row>
    <row r="3" spans="2:29" ht="38.25" customHeight="1" thickBot="1">
      <c r="C3" s="45" t="s">
        <v>73</v>
      </c>
      <c r="D3" s="181" t="s">
        <v>7</v>
      </c>
      <c r="E3" s="46" t="s">
        <v>139</v>
      </c>
      <c r="F3" s="134" t="s">
        <v>107</v>
      </c>
      <c r="G3" s="46"/>
      <c r="H3" s="46" t="s">
        <v>8</v>
      </c>
      <c r="I3" s="46" t="s">
        <v>9</v>
      </c>
      <c r="J3" s="46" t="s">
        <v>10</v>
      </c>
      <c r="K3" s="46" t="s">
        <v>11</v>
      </c>
      <c r="L3" s="46" t="s">
        <v>74</v>
      </c>
      <c r="M3" s="105" t="s">
        <v>13</v>
      </c>
      <c r="N3" s="238" t="s">
        <v>14</v>
      </c>
      <c r="O3" s="238" t="s">
        <v>75</v>
      </c>
      <c r="P3" s="239" t="s">
        <v>76</v>
      </c>
      <c r="Q3" s="239" t="s">
        <v>77</v>
      </c>
      <c r="R3" s="238" t="s">
        <v>78</v>
      </c>
      <c r="S3" s="238" t="s">
        <v>79</v>
      </c>
      <c r="T3" s="240" t="s">
        <v>13</v>
      </c>
      <c r="U3" s="241" t="s">
        <v>80</v>
      </c>
      <c r="V3" s="238" t="s">
        <v>81</v>
      </c>
      <c r="W3" s="238" t="s">
        <v>82</v>
      </c>
      <c r="X3" s="238" t="s">
        <v>83</v>
      </c>
      <c r="Y3" s="238" t="s">
        <v>84</v>
      </c>
      <c r="Z3" s="242" t="s">
        <v>74</v>
      </c>
      <c r="AA3" s="329" t="s">
        <v>13</v>
      </c>
      <c r="AB3" s="342" t="s">
        <v>194</v>
      </c>
      <c r="AC3" s="343"/>
    </row>
    <row r="4" spans="2:29" ht="19.5" customHeight="1">
      <c r="B4" s="2"/>
      <c r="C4" s="596">
        <v>1</v>
      </c>
      <c r="D4" s="682" t="s">
        <v>222</v>
      </c>
      <c r="E4" s="683" t="s">
        <v>141</v>
      </c>
      <c r="F4" s="604" t="s">
        <v>129</v>
      </c>
      <c r="G4" s="35" t="s">
        <v>86</v>
      </c>
      <c r="H4" s="35">
        <v>0</v>
      </c>
      <c r="I4" s="35">
        <v>50</v>
      </c>
      <c r="J4" s="35">
        <v>50</v>
      </c>
      <c r="K4" s="35">
        <v>100</v>
      </c>
      <c r="L4" s="35">
        <v>100</v>
      </c>
      <c r="M4" s="108">
        <f t="shared" ref="M4" si="0">SUM(H4:L4)</f>
        <v>300</v>
      </c>
      <c r="N4" s="244">
        <v>130</v>
      </c>
      <c r="O4" s="244">
        <v>160</v>
      </c>
      <c r="P4" s="245">
        <v>160</v>
      </c>
      <c r="Q4" s="245">
        <v>160</v>
      </c>
      <c r="R4" s="246">
        <v>105</v>
      </c>
      <c r="S4" s="244">
        <v>160</v>
      </c>
      <c r="T4" s="247">
        <f t="shared" ref="T4:T26" si="1">SUM(N4:S4)</f>
        <v>875</v>
      </c>
      <c r="U4" s="244">
        <v>160</v>
      </c>
      <c r="V4" s="244">
        <f>160-5*8</f>
        <v>120</v>
      </c>
      <c r="W4" s="244">
        <v>160</v>
      </c>
      <c r="X4" s="244">
        <v>160</v>
      </c>
      <c r="Y4" s="244">
        <v>160</v>
      </c>
      <c r="Z4" s="244">
        <v>135</v>
      </c>
      <c r="AA4" s="330">
        <f>SUM(T4:Z4)</f>
        <v>1770</v>
      </c>
      <c r="AB4" s="344">
        <f>AA4*3000</f>
        <v>5310000</v>
      </c>
      <c r="AC4" s="31"/>
    </row>
    <row r="5" spans="2:29" ht="19.5" customHeight="1">
      <c r="B5" s="2"/>
      <c r="C5" s="597"/>
      <c r="D5" s="658"/>
      <c r="E5" s="659"/>
      <c r="F5" s="659"/>
      <c r="G5" s="166" t="s">
        <v>87</v>
      </c>
      <c r="H5" s="35"/>
      <c r="I5" s="35"/>
      <c r="J5" s="35"/>
      <c r="K5" s="35"/>
      <c r="L5" s="35"/>
      <c r="M5" s="108"/>
      <c r="N5" s="249">
        <v>80</v>
      </c>
      <c r="O5" s="249">
        <v>152</v>
      </c>
      <c r="P5" s="250">
        <f>40+40+40+40</f>
        <v>160</v>
      </c>
      <c r="Q5" s="250">
        <v>152</v>
      </c>
      <c r="R5" s="251">
        <v>161</v>
      </c>
      <c r="S5" s="249">
        <v>170.5</v>
      </c>
      <c r="T5" s="252">
        <f>SUM(N5:S5)</f>
        <v>875.5</v>
      </c>
      <c r="U5" s="253">
        <v>160</v>
      </c>
      <c r="V5" s="254">
        <f>73.5+40+40</f>
        <v>153.5</v>
      </c>
      <c r="W5" s="254">
        <v>160</v>
      </c>
      <c r="X5" s="254">
        <f>181.75</f>
        <v>181.75</v>
      </c>
      <c r="Y5" s="254">
        <v>80</v>
      </c>
      <c r="Z5" s="254"/>
      <c r="AA5" s="331">
        <f>SUM(T5:Z5)</f>
        <v>1610.75</v>
      </c>
      <c r="AB5" s="335">
        <f>AA5*3000</f>
        <v>4832250</v>
      </c>
      <c r="AC5" s="31"/>
    </row>
    <row r="6" spans="2:29" ht="19.5" customHeight="1">
      <c r="B6" s="2"/>
      <c r="C6" s="596">
        <f>C4+1</f>
        <v>2</v>
      </c>
      <c r="D6" s="660" t="s">
        <v>142</v>
      </c>
      <c r="E6" s="679" t="s">
        <v>143</v>
      </c>
      <c r="F6" s="604" t="s">
        <v>112</v>
      </c>
      <c r="G6" s="35" t="s">
        <v>86</v>
      </c>
      <c r="H6" s="35">
        <v>0</v>
      </c>
      <c r="I6" s="35">
        <v>50</v>
      </c>
      <c r="J6" s="35">
        <v>50</v>
      </c>
      <c r="K6" s="35">
        <v>100</v>
      </c>
      <c r="L6" s="35">
        <v>100</v>
      </c>
      <c r="M6" s="108">
        <f t="shared" ref="M6" si="2">SUM(H6:L6)</f>
        <v>300</v>
      </c>
      <c r="N6" s="244">
        <v>120</v>
      </c>
      <c r="O6" s="244">
        <v>150</v>
      </c>
      <c r="P6" s="256">
        <v>150</v>
      </c>
      <c r="Q6" s="256">
        <v>150</v>
      </c>
      <c r="R6" s="257">
        <v>100</v>
      </c>
      <c r="S6" s="258">
        <v>150</v>
      </c>
      <c r="T6" s="247">
        <f>SUM(N6:S6)</f>
        <v>820</v>
      </c>
      <c r="U6" s="244">
        <v>200</v>
      </c>
      <c r="V6" s="244">
        <v>180</v>
      </c>
      <c r="W6" s="244">
        <v>200</v>
      </c>
      <c r="X6" s="244">
        <v>200</v>
      </c>
      <c r="Y6" s="244">
        <v>200</v>
      </c>
      <c r="Z6" s="244">
        <v>180</v>
      </c>
      <c r="AA6" s="330">
        <f>SUM(T6:Z6)</f>
        <v>1980</v>
      </c>
      <c r="AB6" s="344">
        <f>AA6*3000</f>
        <v>5940000</v>
      </c>
      <c r="AC6" s="31"/>
    </row>
    <row r="7" spans="2:29" ht="19.5" customHeight="1">
      <c r="B7" s="2"/>
      <c r="C7" s="597"/>
      <c r="D7" s="661"/>
      <c r="E7" s="659"/>
      <c r="F7" s="605"/>
      <c r="G7" s="166" t="s">
        <v>87</v>
      </c>
      <c r="H7" s="35"/>
      <c r="I7" s="35"/>
      <c r="J7" s="35"/>
      <c r="K7" s="35"/>
      <c r="L7" s="35"/>
      <c r="M7" s="108"/>
      <c r="N7" s="249">
        <v>32</v>
      </c>
      <c r="O7" s="249">
        <v>56</v>
      </c>
      <c r="P7" s="259" t="s">
        <v>136</v>
      </c>
      <c r="Q7" s="259" t="s">
        <v>136</v>
      </c>
      <c r="R7" s="257"/>
      <c r="S7" s="260"/>
      <c r="T7" s="261">
        <f>SUM(N7:S7)</f>
        <v>88</v>
      </c>
      <c r="U7" s="522"/>
      <c r="V7" s="522"/>
      <c r="W7" s="522"/>
      <c r="X7" s="522"/>
      <c r="Y7" s="270"/>
      <c r="Z7" s="270"/>
      <c r="AA7" s="331">
        <f t="shared" ref="AA7:AA27" si="3">SUM(T7:Z7)</f>
        <v>88</v>
      </c>
      <c r="AB7" s="335">
        <f>AA7*3000</f>
        <v>264000</v>
      </c>
      <c r="AC7" s="31"/>
    </row>
    <row r="8" spans="2:29">
      <c r="B8" s="2"/>
      <c r="C8" s="596">
        <f>C6+1</f>
        <v>3</v>
      </c>
      <c r="D8" s="660" t="s">
        <v>144</v>
      </c>
      <c r="E8" s="679" t="s">
        <v>145</v>
      </c>
      <c r="F8" s="604" t="s">
        <v>146</v>
      </c>
      <c r="G8" s="35" t="s">
        <v>86</v>
      </c>
      <c r="H8" s="35">
        <v>0</v>
      </c>
      <c r="I8" s="35">
        <v>50</v>
      </c>
      <c r="J8" s="35">
        <v>50</v>
      </c>
      <c r="K8" s="35">
        <v>100</v>
      </c>
      <c r="L8" s="35">
        <v>100</v>
      </c>
      <c r="M8" s="108">
        <f t="shared" ref="M8" si="4">SUM(H8:L8)</f>
        <v>300</v>
      </c>
      <c r="N8" s="244">
        <v>100</v>
      </c>
      <c r="O8" s="244">
        <v>100</v>
      </c>
      <c r="P8" s="245">
        <v>100</v>
      </c>
      <c r="Q8" s="262">
        <v>100</v>
      </c>
      <c r="R8" s="257">
        <v>80</v>
      </c>
      <c r="S8" s="263">
        <v>100</v>
      </c>
      <c r="T8" s="247">
        <f>SUM(N8:S8)</f>
        <v>580</v>
      </c>
      <c r="U8" s="523"/>
      <c r="V8" s="523"/>
      <c r="W8" s="523"/>
      <c r="X8" s="523"/>
      <c r="Y8" s="258"/>
      <c r="Z8" s="258"/>
      <c r="AA8" s="330">
        <f>SUM(T8:Z8)</f>
        <v>580</v>
      </c>
      <c r="AB8" s="344">
        <f>AA8*2000</f>
        <v>1160000</v>
      </c>
      <c r="AC8" s="31"/>
    </row>
    <row r="9" spans="2:29">
      <c r="B9" s="2"/>
      <c r="C9" s="597"/>
      <c r="D9" s="661"/>
      <c r="E9" s="659"/>
      <c r="F9" s="605"/>
      <c r="G9" s="166" t="s">
        <v>87</v>
      </c>
      <c r="H9" s="35"/>
      <c r="I9" s="35"/>
      <c r="J9" s="35"/>
      <c r="K9" s="35"/>
      <c r="L9" s="35"/>
      <c r="M9" s="108"/>
      <c r="N9" s="249">
        <v>8</v>
      </c>
      <c r="O9" s="249" t="s">
        <v>136</v>
      </c>
      <c r="P9" s="250">
        <v>8</v>
      </c>
      <c r="Q9" s="259" t="s">
        <v>136</v>
      </c>
      <c r="R9" s="257"/>
      <c r="S9" s="260"/>
      <c r="T9" s="261">
        <f>SUM(N9:S9)</f>
        <v>16</v>
      </c>
      <c r="U9" s="522"/>
      <c r="V9" s="522"/>
      <c r="W9" s="522"/>
      <c r="X9" s="522"/>
      <c r="Y9" s="264"/>
      <c r="Z9" s="264"/>
      <c r="AA9" s="331">
        <f t="shared" ref="AA9" si="5">SUM(T9:Z9)</f>
        <v>16</v>
      </c>
      <c r="AB9" s="335">
        <f>AA9*2000</f>
        <v>32000</v>
      </c>
      <c r="AC9" s="31"/>
    </row>
    <row r="10" spans="2:29" ht="19.5" customHeight="1">
      <c r="B10" s="2"/>
      <c r="C10" s="596">
        <f t="shared" ref="C10" si="6">C8+1</f>
        <v>4</v>
      </c>
      <c r="D10" s="657" t="s">
        <v>147</v>
      </c>
      <c r="E10" s="627" t="s">
        <v>114</v>
      </c>
      <c r="F10" s="604" t="s">
        <v>112</v>
      </c>
      <c r="G10" s="43" t="s">
        <v>86</v>
      </c>
      <c r="H10" s="35">
        <v>0</v>
      </c>
      <c r="I10" s="35">
        <v>150</v>
      </c>
      <c r="J10" s="35">
        <v>150</v>
      </c>
      <c r="K10" s="35">
        <v>0</v>
      </c>
      <c r="L10" s="35">
        <v>0</v>
      </c>
      <c r="M10" s="108">
        <f t="shared" ref="M10" si="7">SUM(H10:L10)</f>
        <v>300</v>
      </c>
      <c r="N10" s="258">
        <v>0</v>
      </c>
      <c r="O10" s="258">
        <v>50</v>
      </c>
      <c r="P10" s="256">
        <v>50</v>
      </c>
      <c r="Q10" s="256">
        <v>50</v>
      </c>
      <c r="R10" s="257">
        <v>50</v>
      </c>
      <c r="S10" s="258">
        <v>50</v>
      </c>
      <c r="T10" s="247">
        <f t="shared" si="1"/>
        <v>250</v>
      </c>
      <c r="U10" s="523">
        <v>50</v>
      </c>
      <c r="V10" s="523">
        <v>30</v>
      </c>
      <c r="W10" s="523">
        <v>50</v>
      </c>
      <c r="X10" s="523">
        <v>50</v>
      </c>
      <c r="Y10" s="244">
        <v>50</v>
      </c>
      <c r="Z10" s="244">
        <v>30</v>
      </c>
      <c r="AA10" s="330">
        <f>SUM(T10:Z10)</f>
        <v>510</v>
      </c>
      <c r="AB10" s="344">
        <f t="shared" ref="AB10:AB15" si="8">AA10*2300</f>
        <v>1173000</v>
      </c>
      <c r="AC10" s="31"/>
    </row>
    <row r="11" spans="2:29" ht="19.5" customHeight="1">
      <c r="B11" s="2"/>
      <c r="C11" s="597"/>
      <c r="D11" s="658"/>
      <c r="E11" s="628"/>
      <c r="F11" s="659"/>
      <c r="G11" s="166" t="s">
        <v>99</v>
      </c>
      <c r="H11" s="72">
        <v>3</v>
      </c>
      <c r="I11" s="69">
        <v>74</v>
      </c>
      <c r="J11" s="69">
        <v>109</v>
      </c>
      <c r="K11" s="72">
        <v>150</v>
      </c>
      <c r="L11" s="72">
        <v>446</v>
      </c>
      <c r="M11" s="108"/>
      <c r="N11" s="264" t="s">
        <v>136</v>
      </c>
      <c r="O11" s="264" t="s">
        <v>136</v>
      </c>
      <c r="P11" s="265" t="s">
        <v>136</v>
      </c>
      <c r="Q11" s="265" t="s">
        <v>136</v>
      </c>
      <c r="R11" s="257"/>
      <c r="S11" s="264"/>
      <c r="T11" s="252">
        <f>SUM(N11:S11)</f>
        <v>0</v>
      </c>
      <c r="U11" s="524"/>
      <c r="V11" s="524"/>
      <c r="W11" s="522"/>
      <c r="X11" s="522"/>
      <c r="Y11" s="254"/>
      <c r="Z11" s="254"/>
      <c r="AA11" s="331">
        <f>SUM(T11:Z11)</f>
        <v>0</v>
      </c>
      <c r="AB11" s="335">
        <f t="shared" si="8"/>
        <v>0</v>
      </c>
      <c r="AC11" s="31"/>
    </row>
    <row r="12" spans="2:29" ht="19.5" customHeight="1">
      <c r="B12" s="2"/>
      <c r="C12" s="596">
        <f t="shared" ref="C12:C14" si="9">C10+1</f>
        <v>5</v>
      </c>
      <c r="D12" s="657" t="s">
        <v>148</v>
      </c>
      <c r="E12" s="626" t="s">
        <v>149</v>
      </c>
      <c r="F12" s="604" t="s">
        <v>112</v>
      </c>
      <c r="G12" s="35" t="s">
        <v>86</v>
      </c>
      <c r="H12" s="534" t="s">
        <v>186</v>
      </c>
      <c r="I12" s="534" t="s">
        <v>186</v>
      </c>
      <c r="J12" s="534" t="s">
        <v>186</v>
      </c>
      <c r="K12" s="35"/>
      <c r="L12" s="35"/>
      <c r="M12" s="108"/>
      <c r="N12" s="258">
        <v>100</v>
      </c>
      <c r="O12" s="258">
        <v>100</v>
      </c>
      <c r="P12" s="256">
        <v>140</v>
      </c>
      <c r="Q12" s="256">
        <v>140</v>
      </c>
      <c r="R12" s="257">
        <v>120</v>
      </c>
      <c r="S12" s="258">
        <v>140</v>
      </c>
      <c r="T12" s="247">
        <f t="shared" si="1"/>
        <v>740</v>
      </c>
      <c r="U12" s="523">
        <v>140</v>
      </c>
      <c r="V12" s="523">
        <v>120</v>
      </c>
      <c r="W12" s="523">
        <v>140</v>
      </c>
      <c r="X12" s="523">
        <v>140</v>
      </c>
      <c r="Y12" s="244">
        <v>140</v>
      </c>
      <c r="Z12" s="244">
        <v>120</v>
      </c>
      <c r="AA12" s="330">
        <f>SUM(T12:Z12)</f>
        <v>1540</v>
      </c>
      <c r="AB12" s="344">
        <f t="shared" si="8"/>
        <v>3542000</v>
      </c>
      <c r="AC12" s="31"/>
    </row>
    <row r="13" spans="2:29" ht="19.5" customHeight="1">
      <c r="B13" s="2"/>
      <c r="C13" s="597"/>
      <c r="D13" s="578"/>
      <c r="E13" s="626"/>
      <c r="F13" s="659"/>
      <c r="G13" s="168" t="s">
        <v>99</v>
      </c>
      <c r="H13" s="534" t="s">
        <v>186</v>
      </c>
      <c r="I13" s="534" t="s">
        <v>186</v>
      </c>
      <c r="J13" s="534" t="s">
        <v>186</v>
      </c>
      <c r="K13" s="35"/>
      <c r="L13" s="35"/>
      <c r="M13" s="108"/>
      <c r="N13" s="264" t="s">
        <v>136</v>
      </c>
      <c r="O13" s="264" t="s">
        <v>136</v>
      </c>
      <c r="P13" s="265" t="s">
        <v>136</v>
      </c>
      <c r="Q13" s="266" t="s">
        <v>136</v>
      </c>
      <c r="R13" s="257"/>
      <c r="S13" s="264"/>
      <c r="T13" s="252">
        <f>SUM(N13:S13)</f>
        <v>0</v>
      </c>
      <c r="U13" s="524"/>
      <c r="V13" s="522"/>
      <c r="W13" s="522"/>
      <c r="X13" s="522"/>
      <c r="Y13" s="254"/>
      <c r="Z13" s="254"/>
      <c r="AA13" s="331">
        <f t="shared" si="3"/>
        <v>0</v>
      </c>
      <c r="AB13" s="335">
        <f t="shared" si="8"/>
        <v>0</v>
      </c>
      <c r="AC13" s="31"/>
    </row>
    <row r="14" spans="2:29" ht="19.5" customHeight="1">
      <c r="B14" s="2"/>
      <c r="C14" s="596">
        <f t="shared" si="9"/>
        <v>6</v>
      </c>
      <c r="D14" s="662" t="s">
        <v>150</v>
      </c>
      <c r="E14" s="689" t="s">
        <v>151</v>
      </c>
      <c r="F14" s="691" t="s">
        <v>112</v>
      </c>
      <c r="G14" s="35" t="s">
        <v>86</v>
      </c>
      <c r="H14" s="534" t="s">
        <v>186</v>
      </c>
      <c r="I14" s="534" t="s">
        <v>186</v>
      </c>
      <c r="J14" s="534" t="s">
        <v>186</v>
      </c>
      <c r="K14" s="35"/>
      <c r="L14" s="35"/>
      <c r="M14" s="108"/>
      <c r="N14" s="258">
        <v>100</v>
      </c>
      <c r="O14" s="258">
        <v>100</v>
      </c>
      <c r="P14" s="256">
        <v>100</v>
      </c>
      <c r="Q14" s="256">
        <v>100</v>
      </c>
      <c r="R14" s="257">
        <v>80</v>
      </c>
      <c r="S14" s="258">
        <v>100</v>
      </c>
      <c r="T14" s="247">
        <f t="shared" ref="T14" si="10">SUM(N14:S14)</f>
        <v>580</v>
      </c>
      <c r="U14" s="523">
        <v>100</v>
      </c>
      <c r="V14" s="523">
        <v>80</v>
      </c>
      <c r="W14" s="523">
        <v>100</v>
      </c>
      <c r="X14" s="523">
        <v>100</v>
      </c>
      <c r="Y14" s="244">
        <v>100</v>
      </c>
      <c r="Z14" s="244">
        <v>80</v>
      </c>
      <c r="AA14" s="330">
        <f>SUM(T14:Z14)</f>
        <v>1140</v>
      </c>
      <c r="AB14" s="344">
        <f t="shared" si="8"/>
        <v>2622000</v>
      </c>
      <c r="AC14" s="31"/>
    </row>
    <row r="15" spans="2:29" ht="19.5" customHeight="1">
      <c r="B15" s="2"/>
      <c r="C15" s="597"/>
      <c r="D15" s="688"/>
      <c r="E15" s="690"/>
      <c r="F15" s="692"/>
      <c r="G15" s="168" t="s">
        <v>152</v>
      </c>
      <c r="H15" s="534" t="s">
        <v>186</v>
      </c>
      <c r="I15" s="534" t="s">
        <v>186</v>
      </c>
      <c r="J15" s="534" t="s">
        <v>186</v>
      </c>
      <c r="K15" s="35"/>
      <c r="L15" s="35"/>
      <c r="M15" s="108"/>
      <c r="N15" s="264" t="s">
        <v>136</v>
      </c>
      <c r="O15" s="264" t="s">
        <v>136</v>
      </c>
      <c r="P15" s="265" t="s">
        <v>136</v>
      </c>
      <c r="Q15" s="266" t="s">
        <v>136</v>
      </c>
      <c r="R15" s="257"/>
      <c r="S15" s="258"/>
      <c r="T15" s="252">
        <f>SUM(N15:S15)</f>
        <v>0</v>
      </c>
      <c r="U15" s="525"/>
      <c r="V15" s="523"/>
      <c r="W15" s="523"/>
      <c r="X15" s="523"/>
      <c r="Y15" s="244"/>
      <c r="Z15" s="244"/>
      <c r="AA15" s="331">
        <f t="shared" ref="AA15" si="11">SUM(T15:Z15)</f>
        <v>0</v>
      </c>
      <c r="AB15" s="335">
        <f t="shared" si="8"/>
        <v>0</v>
      </c>
      <c r="AC15" s="31"/>
    </row>
    <row r="16" spans="2:29" ht="19.5" customHeight="1">
      <c r="B16" s="2"/>
      <c r="C16" s="596">
        <v>7</v>
      </c>
      <c r="D16" s="657" t="s">
        <v>137</v>
      </c>
      <c r="E16" s="626" t="s">
        <v>153</v>
      </c>
      <c r="F16" s="618" t="s">
        <v>154</v>
      </c>
      <c r="G16" s="169" t="s">
        <v>86</v>
      </c>
      <c r="H16" s="83"/>
      <c r="I16" s="84"/>
      <c r="J16" s="85"/>
      <c r="K16" s="62"/>
      <c r="L16" s="62"/>
      <c r="M16" s="109"/>
      <c r="N16" s="268" t="s">
        <v>136</v>
      </c>
      <c r="O16" s="268" t="s">
        <v>136</v>
      </c>
      <c r="P16" s="269" t="s">
        <v>136</v>
      </c>
      <c r="Q16" s="269">
        <v>100</v>
      </c>
      <c r="R16" s="251">
        <v>80</v>
      </c>
      <c r="S16" s="268">
        <v>100</v>
      </c>
      <c r="T16" s="247">
        <f t="shared" ref="T16" si="12">SUM(N16:S16)</f>
        <v>280</v>
      </c>
      <c r="U16" s="244">
        <v>100</v>
      </c>
      <c r="V16" s="244">
        <v>80</v>
      </c>
      <c r="W16" s="244">
        <v>100</v>
      </c>
      <c r="X16" s="244">
        <v>100</v>
      </c>
      <c r="Y16" s="244">
        <v>100</v>
      </c>
      <c r="Z16" s="244">
        <v>80</v>
      </c>
      <c r="AA16" s="330">
        <f>SUM(T16:Z16)</f>
        <v>840</v>
      </c>
      <c r="AB16" s="344">
        <f>AA16*2500</f>
        <v>2100000</v>
      </c>
      <c r="AC16" s="31"/>
    </row>
    <row r="17" spans="2:29" ht="19.5" customHeight="1">
      <c r="B17" s="2"/>
      <c r="C17" s="597"/>
      <c r="D17" s="578"/>
      <c r="E17" s="679"/>
      <c r="F17" s="541"/>
      <c r="G17" s="168" t="s">
        <v>99</v>
      </c>
      <c r="H17" s="83"/>
      <c r="I17" s="84"/>
      <c r="J17" s="85"/>
      <c r="K17" s="62"/>
      <c r="L17" s="62"/>
      <c r="M17" s="109"/>
      <c r="N17" s="270" t="s">
        <v>136</v>
      </c>
      <c r="O17" s="270" t="s">
        <v>136</v>
      </c>
      <c r="P17" s="271" t="s">
        <v>136</v>
      </c>
      <c r="Q17" s="271" t="s">
        <v>136</v>
      </c>
      <c r="R17" s="251">
        <v>3</v>
      </c>
      <c r="S17" s="268"/>
      <c r="T17" s="252">
        <f>SUM(N17:S17)</f>
        <v>3</v>
      </c>
      <c r="U17" s="267"/>
      <c r="V17" s="244"/>
      <c r="W17" s="244"/>
      <c r="X17" s="244"/>
      <c r="Y17" s="244"/>
      <c r="Z17" s="244"/>
      <c r="AA17" s="331">
        <f t="shared" ref="AA17" si="13">SUM(T17:Z17)</f>
        <v>3</v>
      </c>
      <c r="AB17" s="335">
        <f>AA17*2500</f>
        <v>7500</v>
      </c>
      <c r="AC17" s="31"/>
    </row>
    <row r="18" spans="2:29" ht="19.5" customHeight="1">
      <c r="B18" s="2"/>
      <c r="C18" s="596">
        <v>8</v>
      </c>
      <c r="D18" s="662" t="s">
        <v>219</v>
      </c>
      <c r="E18" s="689" t="s">
        <v>151</v>
      </c>
      <c r="F18" s="691" t="s">
        <v>112</v>
      </c>
      <c r="G18" s="169" t="s">
        <v>86</v>
      </c>
      <c r="H18" s="535" t="s">
        <v>101</v>
      </c>
      <c r="I18" s="535" t="s">
        <v>227</v>
      </c>
      <c r="J18" s="535" t="s">
        <v>101</v>
      </c>
      <c r="K18" s="35"/>
      <c r="L18" s="35"/>
      <c r="M18" s="108"/>
      <c r="N18" s="244">
        <v>100</v>
      </c>
      <c r="O18" s="244">
        <v>100</v>
      </c>
      <c r="P18" s="245">
        <v>100</v>
      </c>
      <c r="Q18" s="245">
        <v>100</v>
      </c>
      <c r="R18" s="251">
        <v>80</v>
      </c>
      <c r="S18" s="244">
        <v>100</v>
      </c>
      <c r="T18" s="247">
        <f t="shared" si="1"/>
        <v>580</v>
      </c>
      <c r="U18" s="244">
        <v>100</v>
      </c>
      <c r="V18" s="244">
        <v>80</v>
      </c>
      <c r="W18" s="244">
        <v>100</v>
      </c>
      <c r="X18" s="244">
        <v>100</v>
      </c>
      <c r="Y18" s="244">
        <v>100</v>
      </c>
      <c r="Z18" s="244">
        <v>80</v>
      </c>
      <c r="AA18" s="330">
        <f>SUM(T18:Z18)</f>
        <v>1140</v>
      </c>
      <c r="AB18" s="344">
        <f>AA18*2500</f>
        <v>2850000</v>
      </c>
      <c r="AC18" s="31"/>
    </row>
    <row r="19" spans="2:29" ht="19.5" customHeight="1">
      <c r="B19" s="2"/>
      <c r="C19" s="668"/>
      <c r="D19" s="693"/>
      <c r="E19" s="690"/>
      <c r="F19" s="694"/>
      <c r="G19" s="168" t="s">
        <v>99</v>
      </c>
      <c r="H19" s="535" t="s">
        <v>101</v>
      </c>
      <c r="I19" s="535" t="s">
        <v>101</v>
      </c>
      <c r="J19" s="535" t="s">
        <v>101</v>
      </c>
      <c r="K19" s="35"/>
      <c r="L19" s="35"/>
      <c r="M19" s="108"/>
      <c r="N19" s="254">
        <v>74</v>
      </c>
      <c r="O19" s="254">
        <v>72</v>
      </c>
      <c r="P19" s="272">
        <v>208</v>
      </c>
      <c r="Q19" s="250">
        <v>10</v>
      </c>
      <c r="R19" s="251" t="s">
        <v>136</v>
      </c>
      <c r="S19" s="249"/>
      <c r="T19" s="273">
        <f>SUM(N19:S19)</f>
        <v>364</v>
      </c>
      <c r="U19" s="244"/>
      <c r="V19" s="244"/>
      <c r="W19" s="254">
        <v>8</v>
      </c>
      <c r="X19" s="254">
        <f>7+8</f>
        <v>15</v>
      </c>
      <c r="Y19" s="254"/>
      <c r="Z19" s="254"/>
      <c r="AA19" s="331">
        <f t="shared" si="3"/>
        <v>387</v>
      </c>
      <c r="AB19" s="335">
        <f>AA19*2650</f>
        <v>1025550</v>
      </c>
      <c r="AC19" s="31"/>
    </row>
    <row r="20" spans="2:29" ht="19.5" customHeight="1">
      <c r="B20" s="2"/>
      <c r="C20" s="596">
        <v>9</v>
      </c>
      <c r="D20" s="657" t="s">
        <v>156</v>
      </c>
      <c r="E20" s="627" t="s">
        <v>151</v>
      </c>
      <c r="F20" s="604" t="s">
        <v>112</v>
      </c>
      <c r="G20" s="169" t="s">
        <v>86</v>
      </c>
      <c r="H20" s="535" t="s">
        <v>101</v>
      </c>
      <c r="I20" s="535" t="s">
        <v>101</v>
      </c>
      <c r="J20" s="535" t="s">
        <v>101</v>
      </c>
      <c r="K20" s="35"/>
      <c r="L20" s="35"/>
      <c r="M20" s="108"/>
      <c r="N20" s="244" t="s">
        <v>136</v>
      </c>
      <c r="O20" s="244" t="s">
        <v>136</v>
      </c>
      <c r="P20" s="245" t="s">
        <v>136</v>
      </c>
      <c r="Q20" s="245" t="s">
        <v>136</v>
      </c>
      <c r="R20" s="251" t="s">
        <v>136</v>
      </c>
      <c r="S20" s="244" t="s">
        <v>136</v>
      </c>
      <c r="T20" s="247">
        <f t="shared" ref="T20" si="14">SUM(N20:S20)</f>
        <v>0</v>
      </c>
      <c r="U20" s="244" t="s">
        <v>136</v>
      </c>
      <c r="V20" s="244" t="s">
        <v>136</v>
      </c>
      <c r="W20" s="244" t="s">
        <v>136</v>
      </c>
      <c r="X20" s="244" t="s">
        <v>136</v>
      </c>
      <c r="Y20" s="244" t="s">
        <v>136</v>
      </c>
      <c r="Z20" s="244" t="s">
        <v>136</v>
      </c>
      <c r="AA20" s="330">
        <f>SUM(T20:Z20)</f>
        <v>0</v>
      </c>
      <c r="AB20" s="344">
        <f>AA20*2500</f>
        <v>0</v>
      </c>
      <c r="AC20" s="31"/>
    </row>
    <row r="21" spans="2:29" ht="19.5" customHeight="1">
      <c r="B21" s="2"/>
      <c r="C21" s="668"/>
      <c r="D21" s="714"/>
      <c r="E21" s="715"/>
      <c r="F21" s="716"/>
      <c r="G21" s="168" t="s">
        <v>99</v>
      </c>
      <c r="H21" s="535" t="s">
        <v>101</v>
      </c>
      <c r="I21" s="535" t="s">
        <v>101</v>
      </c>
      <c r="J21" s="535" t="s">
        <v>101</v>
      </c>
      <c r="K21" s="35"/>
      <c r="L21" s="35"/>
      <c r="M21" s="108"/>
      <c r="N21" s="254" t="s">
        <v>136</v>
      </c>
      <c r="O21" s="254" t="s">
        <v>136</v>
      </c>
      <c r="P21" s="272">
        <v>85</v>
      </c>
      <c r="Q21" s="272" t="s">
        <v>136</v>
      </c>
      <c r="R21" s="251" t="s">
        <v>136</v>
      </c>
      <c r="S21" s="249"/>
      <c r="T21" s="252">
        <f>SUM(N21:S21)</f>
        <v>85</v>
      </c>
      <c r="U21" s="244"/>
      <c r="V21" s="244"/>
      <c r="W21" s="244"/>
      <c r="X21" s="244"/>
      <c r="Y21" s="244"/>
      <c r="Z21" s="244"/>
      <c r="AA21" s="331">
        <f t="shared" ref="AA21" si="15">SUM(T21:Z21)</f>
        <v>85</v>
      </c>
      <c r="AB21" s="335">
        <f>AA21*2650</f>
        <v>225250</v>
      </c>
      <c r="AC21" s="31"/>
    </row>
    <row r="22" spans="2:29" ht="19.5" customHeight="1">
      <c r="B22" s="2"/>
      <c r="C22" s="596">
        <v>10</v>
      </c>
      <c r="D22" s="657" t="s">
        <v>157</v>
      </c>
      <c r="E22" s="627" t="s">
        <v>151</v>
      </c>
      <c r="F22" s="604" t="s">
        <v>112</v>
      </c>
      <c r="G22" s="169" t="s">
        <v>86</v>
      </c>
      <c r="H22" s="535" t="s">
        <v>101</v>
      </c>
      <c r="I22" s="535" t="s">
        <v>101</v>
      </c>
      <c r="J22" s="535" t="s">
        <v>101</v>
      </c>
      <c r="K22" s="35"/>
      <c r="L22" s="35"/>
      <c r="M22" s="108"/>
      <c r="N22" s="244" t="s">
        <v>136</v>
      </c>
      <c r="O22" s="244" t="s">
        <v>136</v>
      </c>
      <c r="P22" s="245" t="s">
        <v>136</v>
      </c>
      <c r="Q22" s="245" t="s">
        <v>136</v>
      </c>
      <c r="R22" s="251" t="s">
        <v>136</v>
      </c>
      <c r="S22" s="244" t="s">
        <v>136</v>
      </c>
      <c r="T22" s="247">
        <f t="shared" ref="T22" si="16">SUM(N22:S22)</f>
        <v>0</v>
      </c>
      <c r="U22" s="244" t="s">
        <v>136</v>
      </c>
      <c r="V22" s="244" t="s">
        <v>136</v>
      </c>
      <c r="W22" s="244" t="s">
        <v>136</v>
      </c>
      <c r="X22" s="244" t="s">
        <v>136</v>
      </c>
      <c r="Y22" s="244" t="s">
        <v>136</v>
      </c>
      <c r="Z22" s="244" t="s">
        <v>136</v>
      </c>
      <c r="AA22" s="330">
        <f>SUM(T22:Z22)</f>
        <v>0</v>
      </c>
      <c r="AB22" s="344">
        <f>AA22*2500</f>
        <v>0</v>
      </c>
      <c r="AC22" s="31"/>
    </row>
    <row r="23" spans="2:29" ht="19.5" customHeight="1">
      <c r="B23" s="2"/>
      <c r="C23" s="668"/>
      <c r="D23" s="714"/>
      <c r="E23" s="715"/>
      <c r="F23" s="716"/>
      <c r="G23" s="168" t="s">
        <v>99</v>
      </c>
      <c r="H23" s="535" t="s">
        <v>101</v>
      </c>
      <c r="I23" s="535" t="s">
        <v>101</v>
      </c>
      <c r="J23" s="535" t="s">
        <v>101</v>
      </c>
      <c r="K23" s="35"/>
      <c r="L23" s="35"/>
      <c r="M23" s="108"/>
      <c r="N23" s="254" t="s">
        <v>136</v>
      </c>
      <c r="O23" s="254" t="s">
        <v>136</v>
      </c>
      <c r="P23" s="272" t="s">
        <v>136</v>
      </c>
      <c r="Q23" s="272" t="s">
        <v>136</v>
      </c>
      <c r="R23" s="328">
        <v>110</v>
      </c>
      <c r="S23" s="249" t="s">
        <v>136</v>
      </c>
      <c r="T23" s="252">
        <f>SUM(N23:S23)</f>
        <v>110</v>
      </c>
      <c r="U23" s="244"/>
      <c r="V23" s="254">
        <f>50+7.5+20</f>
        <v>77.5</v>
      </c>
      <c r="W23" s="244"/>
      <c r="X23" s="244"/>
      <c r="Y23" s="244"/>
      <c r="Z23" s="244"/>
      <c r="AA23" s="331">
        <f>SUM(T23:Z23)</f>
        <v>187.5</v>
      </c>
      <c r="AB23" s="335">
        <f>AA23*2650</f>
        <v>496875</v>
      </c>
      <c r="AC23" s="31"/>
    </row>
    <row r="24" spans="2:29" ht="19.5" customHeight="1">
      <c r="B24" s="2"/>
      <c r="C24" s="673">
        <v>11</v>
      </c>
      <c r="D24" s="664" t="s">
        <v>221</v>
      </c>
      <c r="E24" s="685" t="s">
        <v>151</v>
      </c>
      <c r="F24" s="669" t="s">
        <v>112</v>
      </c>
      <c r="G24" s="483" t="s">
        <v>86</v>
      </c>
      <c r="H24" s="536" t="s">
        <v>101</v>
      </c>
      <c r="I24" s="536" t="s">
        <v>101</v>
      </c>
      <c r="J24" s="536" t="s">
        <v>101</v>
      </c>
      <c r="K24" s="111"/>
      <c r="L24" s="111"/>
      <c r="M24" s="484"/>
      <c r="N24" s="274" t="s">
        <v>136</v>
      </c>
      <c r="O24" s="274" t="s">
        <v>136</v>
      </c>
      <c r="P24" s="485" t="s">
        <v>136</v>
      </c>
      <c r="Q24" s="485" t="s">
        <v>136</v>
      </c>
      <c r="R24" s="486" t="s">
        <v>136</v>
      </c>
      <c r="S24" s="274" t="s">
        <v>136</v>
      </c>
      <c r="T24" s="487">
        <f t="shared" ref="T24" si="17">SUM(N24:S24)</f>
        <v>0</v>
      </c>
      <c r="U24" s="244" t="s">
        <v>136</v>
      </c>
      <c r="V24" s="244" t="s">
        <v>136</v>
      </c>
      <c r="W24" s="244" t="s">
        <v>136</v>
      </c>
      <c r="X24" s="244" t="s">
        <v>136</v>
      </c>
      <c r="Y24" s="244" t="s">
        <v>136</v>
      </c>
      <c r="Z24" s="244" t="s">
        <v>136</v>
      </c>
      <c r="AA24" s="330">
        <f>SUM(T24:Z24)</f>
        <v>0</v>
      </c>
      <c r="AB24" s="344">
        <f>AA24*2500</f>
        <v>0</v>
      </c>
      <c r="AC24" s="31"/>
    </row>
    <row r="25" spans="2:29" ht="19.5" customHeight="1">
      <c r="B25" s="2"/>
      <c r="C25" s="674"/>
      <c r="D25" s="684"/>
      <c r="E25" s="686"/>
      <c r="F25" s="670"/>
      <c r="G25" s="111" t="s">
        <v>99</v>
      </c>
      <c r="H25" s="536" t="s">
        <v>101</v>
      </c>
      <c r="I25" s="536" t="s">
        <v>101</v>
      </c>
      <c r="J25" s="536" t="s">
        <v>101</v>
      </c>
      <c r="K25" s="111"/>
      <c r="L25" s="111"/>
      <c r="M25" s="484"/>
      <c r="N25" s="274" t="s">
        <v>136</v>
      </c>
      <c r="O25" s="274" t="s">
        <v>136</v>
      </c>
      <c r="P25" s="485" t="s">
        <v>136</v>
      </c>
      <c r="Q25" s="485" t="s">
        <v>136</v>
      </c>
      <c r="R25" s="486"/>
      <c r="S25" s="488" t="s">
        <v>136</v>
      </c>
      <c r="T25" s="489">
        <f>SUM(N25:S25)</f>
        <v>0</v>
      </c>
      <c r="U25" s="244"/>
      <c r="V25" s="254"/>
      <c r="W25" s="244"/>
      <c r="X25" s="254">
        <v>43</v>
      </c>
      <c r="Y25" s="244"/>
      <c r="Z25" s="244"/>
      <c r="AA25" s="331">
        <f>SUM(T25:Z25)</f>
        <v>43</v>
      </c>
      <c r="AB25" s="335">
        <f>AA25*2650</f>
        <v>113950</v>
      </c>
      <c r="AC25" s="31"/>
    </row>
    <row r="26" spans="2:29" ht="19.5" customHeight="1">
      <c r="B26" s="2"/>
      <c r="C26" s="673">
        <v>12</v>
      </c>
      <c r="D26" s="664" t="s">
        <v>158</v>
      </c>
      <c r="E26" s="671" t="s">
        <v>151</v>
      </c>
      <c r="F26" s="669" t="s">
        <v>112</v>
      </c>
      <c r="G26" s="169" t="s">
        <v>86</v>
      </c>
      <c r="H26" s="83"/>
      <c r="I26" s="84"/>
      <c r="J26" s="85"/>
      <c r="K26" s="62"/>
      <c r="L26" s="62"/>
      <c r="M26" s="109"/>
      <c r="N26" s="244" t="s">
        <v>136</v>
      </c>
      <c r="O26" s="244" t="s">
        <v>136</v>
      </c>
      <c r="P26" s="256">
        <v>150</v>
      </c>
      <c r="Q26" s="256">
        <v>250</v>
      </c>
      <c r="R26" s="256">
        <v>150</v>
      </c>
      <c r="S26" s="256">
        <v>0</v>
      </c>
      <c r="T26" s="247">
        <f t="shared" si="1"/>
        <v>550</v>
      </c>
      <c r="U26" s="523">
        <v>0</v>
      </c>
      <c r="V26" s="523">
        <v>0</v>
      </c>
      <c r="W26" s="523">
        <v>150</v>
      </c>
      <c r="X26" s="523">
        <v>250</v>
      </c>
      <c r="Y26" s="244">
        <v>150</v>
      </c>
      <c r="Z26" s="244">
        <v>0</v>
      </c>
      <c r="AA26" s="330">
        <f>SUM(T26:Z26)</f>
        <v>1100</v>
      </c>
      <c r="AB26" s="344">
        <f t="shared" ref="AB26:AB35" si="18">AA26*2500</f>
        <v>2750000</v>
      </c>
      <c r="AC26" s="31"/>
    </row>
    <row r="27" spans="2:29" ht="19.5" customHeight="1">
      <c r="B27" s="2"/>
      <c r="C27" s="674"/>
      <c r="D27" s="665"/>
      <c r="E27" s="671"/>
      <c r="F27" s="672"/>
      <c r="G27" s="168" t="s">
        <v>99</v>
      </c>
      <c r="H27" s="83"/>
      <c r="I27" s="84"/>
      <c r="J27" s="85"/>
      <c r="K27" s="62"/>
      <c r="L27" s="62"/>
      <c r="M27" s="109"/>
      <c r="N27" s="254" t="s">
        <v>136</v>
      </c>
      <c r="O27" s="254" t="s">
        <v>136</v>
      </c>
      <c r="P27" s="265" t="s">
        <v>136</v>
      </c>
      <c r="Q27" s="265" t="s">
        <v>136</v>
      </c>
      <c r="R27" s="265"/>
      <c r="S27" s="265"/>
      <c r="T27" s="252">
        <f>SUM(N27:S27)</f>
        <v>0</v>
      </c>
      <c r="U27" s="525"/>
      <c r="V27" s="523"/>
      <c r="W27" s="523"/>
      <c r="X27" s="523"/>
      <c r="Y27" s="244"/>
      <c r="Z27" s="244"/>
      <c r="AA27" s="331">
        <f t="shared" si="3"/>
        <v>0</v>
      </c>
      <c r="AB27" s="335">
        <f t="shared" si="18"/>
        <v>0</v>
      </c>
      <c r="AC27" s="31"/>
    </row>
    <row r="28" spans="2:29" ht="19.5" customHeight="1">
      <c r="B28" s="2"/>
      <c r="C28" s="673">
        <v>13</v>
      </c>
      <c r="D28" s="664" t="s">
        <v>162</v>
      </c>
      <c r="E28" s="633" t="s">
        <v>151</v>
      </c>
      <c r="F28" s="669" t="s">
        <v>112</v>
      </c>
      <c r="G28" s="169" t="s">
        <v>86</v>
      </c>
      <c r="H28" s="83"/>
      <c r="I28" s="84"/>
      <c r="J28" s="85"/>
      <c r="K28" s="62"/>
      <c r="L28" s="62"/>
      <c r="M28" s="109"/>
      <c r="N28" s="244" t="s">
        <v>136</v>
      </c>
      <c r="O28" s="244" t="s">
        <v>136</v>
      </c>
      <c r="P28" s="245" t="s">
        <v>136</v>
      </c>
      <c r="Q28" s="245" t="s">
        <v>136</v>
      </c>
      <c r="R28" s="251" t="s">
        <v>136</v>
      </c>
      <c r="S28" s="244" t="s">
        <v>136</v>
      </c>
      <c r="T28" s="247" t="s">
        <v>136</v>
      </c>
      <c r="U28" s="523">
        <v>50</v>
      </c>
      <c r="V28" s="523">
        <v>30</v>
      </c>
      <c r="W28" s="523">
        <v>50</v>
      </c>
      <c r="X28" s="523">
        <v>50</v>
      </c>
      <c r="Y28" s="244">
        <v>50</v>
      </c>
      <c r="Z28" s="244">
        <v>30</v>
      </c>
      <c r="AA28" s="330">
        <f>SUM(T28:Z28)</f>
        <v>260</v>
      </c>
      <c r="AB28" s="344">
        <f t="shared" si="18"/>
        <v>650000</v>
      </c>
      <c r="AC28" s="31"/>
    </row>
    <row r="29" spans="2:29" ht="19.5" customHeight="1">
      <c r="B29" s="2"/>
      <c r="C29" s="674"/>
      <c r="D29" s="665"/>
      <c r="E29" s="675"/>
      <c r="F29" s="672"/>
      <c r="G29" s="168" t="s">
        <v>99</v>
      </c>
      <c r="H29" s="83"/>
      <c r="I29" s="84"/>
      <c r="J29" s="85"/>
      <c r="K29" s="62"/>
      <c r="L29" s="62"/>
      <c r="M29" s="109"/>
      <c r="N29" s="254" t="s">
        <v>136</v>
      </c>
      <c r="O29" s="254" t="s">
        <v>136</v>
      </c>
      <c r="P29" s="272" t="s">
        <v>136</v>
      </c>
      <c r="Q29" s="272" t="s">
        <v>136</v>
      </c>
      <c r="R29" s="251" t="s">
        <v>136</v>
      </c>
      <c r="S29" s="254"/>
      <c r="T29" s="275"/>
      <c r="U29" s="526"/>
      <c r="V29" s="527"/>
      <c r="W29" s="527"/>
      <c r="X29" s="527"/>
      <c r="Y29" s="274"/>
      <c r="Z29" s="274"/>
      <c r="AA29" s="331">
        <f t="shared" ref="AA29" si="19">SUM(T29:Z29)</f>
        <v>0</v>
      </c>
      <c r="AB29" s="335">
        <f t="shared" si="18"/>
        <v>0</v>
      </c>
      <c r="AC29" s="31"/>
    </row>
    <row r="30" spans="2:29" ht="19.5" customHeight="1">
      <c r="B30" s="2"/>
      <c r="C30" s="673">
        <v>14</v>
      </c>
      <c r="D30" s="664" t="s">
        <v>220</v>
      </c>
      <c r="E30" s="680" t="s">
        <v>151</v>
      </c>
      <c r="F30" s="669" t="s">
        <v>112</v>
      </c>
      <c r="G30" s="169" t="s">
        <v>86</v>
      </c>
      <c r="H30" s="83"/>
      <c r="I30" s="84"/>
      <c r="J30" s="85"/>
      <c r="K30" s="62"/>
      <c r="L30" s="62"/>
      <c r="M30" s="109"/>
      <c r="N30" s="244" t="s">
        <v>136</v>
      </c>
      <c r="O30" s="244" t="s">
        <v>136</v>
      </c>
      <c r="P30" s="245" t="s">
        <v>136</v>
      </c>
      <c r="Q30" s="245" t="s">
        <v>136</v>
      </c>
      <c r="R30" s="251" t="s">
        <v>136</v>
      </c>
      <c r="S30" s="244" t="s">
        <v>136</v>
      </c>
      <c r="T30" s="247" t="s">
        <v>160</v>
      </c>
      <c r="U30" s="244" t="s">
        <v>136</v>
      </c>
      <c r="V30" s="528" t="s">
        <v>136</v>
      </c>
      <c r="W30" s="528">
        <v>30</v>
      </c>
      <c r="X30" s="528">
        <v>40</v>
      </c>
      <c r="Y30" s="528">
        <v>40</v>
      </c>
      <c r="Z30" s="528">
        <v>20</v>
      </c>
      <c r="AA30" s="330">
        <f>SUM(T30:Z30)</f>
        <v>130</v>
      </c>
      <c r="AB30" s="344">
        <f t="shared" si="18"/>
        <v>325000</v>
      </c>
      <c r="AC30" s="31"/>
    </row>
    <row r="31" spans="2:29" ht="19.5" customHeight="1">
      <c r="B31" s="2"/>
      <c r="C31" s="674"/>
      <c r="D31" s="665"/>
      <c r="E31" s="675"/>
      <c r="F31" s="672"/>
      <c r="G31" s="168" t="s">
        <v>99</v>
      </c>
      <c r="H31" s="83"/>
      <c r="I31" s="84"/>
      <c r="J31" s="85"/>
      <c r="K31" s="62"/>
      <c r="L31" s="62"/>
      <c r="M31" s="109"/>
      <c r="N31" s="254" t="s">
        <v>136</v>
      </c>
      <c r="O31" s="254" t="s">
        <v>136</v>
      </c>
      <c r="P31" s="272" t="s">
        <v>136</v>
      </c>
      <c r="Q31" s="272" t="s">
        <v>136</v>
      </c>
      <c r="R31" s="251" t="s">
        <v>136</v>
      </c>
      <c r="S31" s="254"/>
      <c r="T31" s="275"/>
      <c r="U31" s="267"/>
      <c r="V31" s="244"/>
      <c r="W31" s="244"/>
      <c r="X31" s="254">
        <f>43+35.5</f>
        <v>78.5</v>
      </c>
      <c r="Y31" s="254">
        <f>92+48</f>
        <v>140</v>
      </c>
      <c r="Z31" s="244"/>
      <c r="AA31" s="331">
        <f t="shared" ref="AA31" si="20">SUM(T31:Z31)</f>
        <v>218.5</v>
      </c>
      <c r="AB31" s="335">
        <f>AA31*2650</f>
        <v>579025</v>
      </c>
      <c r="AC31" s="31"/>
    </row>
    <row r="32" spans="2:29" ht="19.5" customHeight="1">
      <c r="B32" s="2"/>
      <c r="C32" s="712">
        <v>15</v>
      </c>
      <c r="D32" s="676" t="s">
        <v>223</v>
      </c>
      <c r="E32" s="680" t="s">
        <v>151</v>
      </c>
      <c r="F32" s="713" t="s">
        <v>112</v>
      </c>
      <c r="G32" s="516" t="s">
        <v>86</v>
      </c>
      <c r="H32" s="83"/>
      <c r="I32" s="84"/>
      <c r="J32" s="85"/>
      <c r="K32" s="62"/>
      <c r="L32" s="62"/>
      <c r="M32" s="109"/>
      <c r="N32" s="517" t="s">
        <v>136</v>
      </c>
      <c r="O32" s="517" t="s">
        <v>136</v>
      </c>
      <c r="P32" s="518" t="s">
        <v>136</v>
      </c>
      <c r="Q32" s="518" t="s">
        <v>136</v>
      </c>
      <c r="R32" s="251" t="s">
        <v>136</v>
      </c>
      <c r="S32" s="517" t="s">
        <v>136</v>
      </c>
      <c r="T32" s="273" t="s">
        <v>160</v>
      </c>
      <c r="U32" s="517" t="s">
        <v>136</v>
      </c>
      <c r="V32" s="244" t="s">
        <v>136</v>
      </c>
      <c r="W32" s="517" t="s">
        <v>136</v>
      </c>
      <c r="X32" s="517" t="s">
        <v>136</v>
      </c>
      <c r="Y32" s="517" t="s">
        <v>136</v>
      </c>
      <c r="Z32" s="517" t="s">
        <v>136</v>
      </c>
      <c r="AA32" s="519">
        <f>SUM(T32:Z32)</f>
        <v>0</v>
      </c>
      <c r="AB32" s="344">
        <f>AA32*2500</f>
        <v>0</v>
      </c>
      <c r="AC32" s="31"/>
    </row>
    <row r="33" spans="2:37">
      <c r="B33" s="2"/>
      <c r="C33" s="674"/>
      <c r="D33" s="677"/>
      <c r="E33" s="675"/>
      <c r="F33" s="672"/>
      <c r="G33" s="520" t="s">
        <v>99</v>
      </c>
      <c r="H33" s="83"/>
      <c r="I33" s="84"/>
      <c r="J33" s="85"/>
      <c r="K33" s="62"/>
      <c r="L33" s="62"/>
      <c r="M33" s="109"/>
      <c r="N33" s="254" t="s">
        <v>136</v>
      </c>
      <c r="O33" s="254" t="s">
        <v>136</v>
      </c>
      <c r="P33" s="272" t="s">
        <v>136</v>
      </c>
      <c r="Q33" s="272" t="s">
        <v>136</v>
      </c>
      <c r="R33" s="251" t="s">
        <v>136</v>
      </c>
      <c r="S33" s="254"/>
      <c r="T33" s="275"/>
      <c r="U33" s="267"/>
      <c r="V33" s="244"/>
      <c r="W33" s="244"/>
      <c r="X33" s="254"/>
      <c r="Y33" s="254">
        <f>8*5</f>
        <v>40</v>
      </c>
      <c r="Z33" s="244"/>
      <c r="AA33" s="521">
        <f>SUM(T33:Z33)</f>
        <v>40</v>
      </c>
      <c r="AB33" s="335">
        <f>AA33*3000</f>
        <v>120000</v>
      </c>
      <c r="AC33" s="31"/>
    </row>
    <row r="34" spans="2:37" ht="19.5" customHeight="1">
      <c r="B34" s="2"/>
      <c r="C34" s="673">
        <v>16</v>
      </c>
      <c r="D34" s="664" t="s">
        <v>163</v>
      </c>
      <c r="E34" s="680" t="s">
        <v>164</v>
      </c>
      <c r="F34" s="669" t="s">
        <v>146</v>
      </c>
      <c r="G34" s="169" t="s">
        <v>86</v>
      </c>
      <c r="H34" s="83"/>
      <c r="I34" s="84"/>
      <c r="J34" s="85"/>
      <c r="K34" s="62"/>
      <c r="L34" s="62"/>
      <c r="M34" s="109"/>
      <c r="N34" s="244" t="s">
        <v>136</v>
      </c>
      <c r="O34" s="244" t="s">
        <v>136</v>
      </c>
      <c r="P34" s="245" t="s">
        <v>136</v>
      </c>
      <c r="Q34" s="245" t="s">
        <v>136</v>
      </c>
      <c r="R34" s="251" t="s">
        <v>136</v>
      </c>
      <c r="S34" s="244" t="s">
        <v>136</v>
      </c>
      <c r="T34" s="247" t="s">
        <v>160</v>
      </c>
      <c r="U34" s="268">
        <v>100</v>
      </c>
      <c r="V34" s="268">
        <v>80</v>
      </c>
      <c r="W34" s="268">
        <v>100</v>
      </c>
      <c r="X34" s="268">
        <v>100</v>
      </c>
      <c r="Y34" s="268">
        <v>100</v>
      </c>
      <c r="Z34" s="268">
        <v>80</v>
      </c>
      <c r="AA34" s="521">
        <f>SUM(T34:Z34)</f>
        <v>560</v>
      </c>
      <c r="AB34" s="344">
        <f t="shared" si="18"/>
        <v>1400000</v>
      </c>
      <c r="AC34" s="31"/>
    </row>
    <row r="35" spans="2:37" ht="19.5" customHeight="1">
      <c r="B35" s="2"/>
      <c r="C35" s="674"/>
      <c r="D35" s="665"/>
      <c r="E35" s="675"/>
      <c r="F35" s="670"/>
      <c r="G35" s="168" t="s">
        <v>99</v>
      </c>
      <c r="H35" s="83"/>
      <c r="I35" s="84"/>
      <c r="J35" s="85"/>
      <c r="K35" s="62"/>
      <c r="L35" s="62"/>
      <c r="M35" s="109"/>
      <c r="N35" s="254" t="s">
        <v>136</v>
      </c>
      <c r="O35" s="254" t="s">
        <v>136</v>
      </c>
      <c r="P35" s="272" t="s">
        <v>136</v>
      </c>
      <c r="Q35" s="272" t="s">
        <v>136</v>
      </c>
      <c r="R35" s="251" t="s">
        <v>136</v>
      </c>
      <c r="S35" s="254"/>
      <c r="T35" s="275"/>
      <c r="U35" s="267"/>
      <c r="V35" s="244"/>
      <c r="W35" s="244"/>
      <c r="X35" s="244"/>
      <c r="Y35" s="244"/>
      <c r="Z35" s="244"/>
      <c r="AA35" s="331">
        <f t="shared" ref="AA35" si="21">SUM(T35:Z35)</f>
        <v>0</v>
      </c>
      <c r="AB35" s="335">
        <f t="shared" si="18"/>
        <v>0</v>
      </c>
      <c r="AC35" s="31"/>
    </row>
    <row r="36" spans="2:37" s="504" customFormat="1" ht="19.5" hidden="1" customHeight="1">
      <c r="B36" s="490"/>
      <c r="C36" s="720">
        <v>16</v>
      </c>
      <c r="D36" s="722" t="s">
        <v>165</v>
      </c>
      <c r="E36" s="724" t="s">
        <v>166</v>
      </c>
      <c r="F36" s="726" t="s">
        <v>112</v>
      </c>
      <c r="G36" s="492" t="s">
        <v>86</v>
      </c>
      <c r="H36" s="493"/>
      <c r="I36" s="494"/>
      <c r="J36" s="495"/>
      <c r="K36" s="491"/>
      <c r="L36" s="491"/>
      <c r="M36" s="496"/>
      <c r="N36" s="497" t="s">
        <v>136</v>
      </c>
      <c r="O36" s="497" t="s">
        <v>136</v>
      </c>
      <c r="P36" s="498" t="s">
        <v>136</v>
      </c>
      <c r="Q36" s="498" t="s">
        <v>136</v>
      </c>
      <c r="R36" s="499" t="s">
        <v>136</v>
      </c>
      <c r="S36" s="497" t="s">
        <v>136</v>
      </c>
      <c r="T36" s="500" t="s">
        <v>160</v>
      </c>
      <c r="U36" s="497" t="s">
        <v>136</v>
      </c>
      <c r="V36" s="497" t="s">
        <v>136</v>
      </c>
      <c r="W36" s="497" t="s">
        <v>136</v>
      </c>
      <c r="X36" s="497" t="s">
        <v>136</v>
      </c>
      <c r="Y36" s="497" t="s">
        <v>136</v>
      </c>
      <c r="Z36" s="497" t="s">
        <v>136</v>
      </c>
      <c r="AA36" s="501">
        <f>SUM(T36:Z36)</f>
        <v>0</v>
      </c>
      <c r="AB36" s="502"/>
      <c r="AC36" s="503"/>
    </row>
    <row r="37" spans="2:37" s="504" customFormat="1" ht="19.5" hidden="1" customHeight="1">
      <c r="B37" s="490"/>
      <c r="C37" s="721"/>
      <c r="D37" s="723"/>
      <c r="E37" s="725"/>
      <c r="F37" s="727"/>
      <c r="G37" s="505" t="s">
        <v>99</v>
      </c>
      <c r="H37" s="493"/>
      <c r="I37" s="494"/>
      <c r="J37" s="495"/>
      <c r="K37" s="491"/>
      <c r="L37" s="491"/>
      <c r="M37" s="496"/>
      <c r="N37" s="497" t="s">
        <v>136</v>
      </c>
      <c r="O37" s="497" t="s">
        <v>136</v>
      </c>
      <c r="P37" s="498" t="s">
        <v>136</v>
      </c>
      <c r="Q37" s="498" t="s">
        <v>136</v>
      </c>
      <c r="R37" s="499"/>
      <c r="S37" s="497"/>
      <c r="T37" s="506"/>
      <c r="U37" s="507"/>
      <c r="V37" s="497"/>
      <c r="W37" s="497"/>
      <c r="X37" s="497"/>
      <c r="Y37" s="497"/>
      <c r="Z37" s="497"/>
      <c r="AA37" s="501">
        <f>SUM(T37:Z37)</f>
        <v>0</v>
      </c>
      <c r="AB37" s="503"/>
      <c r="AC37" s="503"/>
    </row>
    <row r="38" spans="2:37" ht="19.5" hidden="1" customHeight="1">
      <c r="B38" s="2"/>
      <c r="C38" s="673">
        <v>16</v>
      </c>
      <c r="D38" s="676" t="s">
        <v>167</v>
      </c>
      <c r="E38" s="678" t="s">
        <v>168</v>
      </c>
      <c r="F38" s="669" t="s">
        <v>146</v>
      </c>
      <c r="G38" s="169" t="s">
        <v>86</v>
      </c>
      <c r="H38" s="83"/>
      <c r="I38" s="84"/>
      <c r="J38" s="85"/>
      <c r="K38" s="62"/>
      <c r="L38" s="62"/>
      <c r="M38" s="109"/>
      <c r="N38" s="244" t="s">
        <v>136</v>
      </c>
      <c r="O38" s="244" t="s">
        <v>136</v>
      </c>
      <c r="P38" s="245" t="s">
        <v>136</v>
      </c>
      <c r="Q38" s="245" t="s">
        <v>136</v>
      </c>
      <c r="R38" s="251" t="s">
        <v>136</v>
      </c>
      <c r="S38" s="244" t="s">
        <v>136</v>
      </c>
      <c r="T38" s="247" t="s">
        <v>160</v>
      </c>
      <c r="U38" s="244" t="s">
        <v>136</v>
      </c>
      <c r="V38" s="244" t="s">
        <v>136</v>
      </c>
      <c r="W38" s="244" t="s">
        <v>136</v>
      </c>
      <c r="X38" s="244" t="s">
        <v>136</v>
      </c>
      <c r="Y38" s="244" t="s">
        <v>136</v>
      </c>
      <c r="Z38" s="244" t="s">
        <v>136</v>
      </c>
      <c r="AA38" s="330">
        <f>SUM(T38:Z38)</f>
        <v>0</v>
      </c>
      <c r="AB38" s="31"/>
      <c r="AC38" s="31"/>
    </row>
    <row r="39" spans="2:37" ht="19.5" hidden="1" customHeight="1">
      <c r="B39" s="2"/>
      <c r="C39" s="674"/>
      <c r="D39" s="677"/>
      <c r="E39" s="679"/>
      <c r="F39" s="670"/>
      <c r="G39" s="168" t="s">
        <v>99</v>
      </c>
      <c r="H39" s="83"/>
      <c r="I39" s="84"/>
      <c r="J39" s="85"/>
      <c r="K39" s="62"/>
      <c r="L39" s="62"/>
      <c r="M39" s="109"/>
      <c r="N39" s="254" t="s">
        <v>136</v>
      </c>
      <c r="O39" s="254" t="s">
        <v>136</v>
      </c>
      <c r="P39" s="272" t="s">
        <v>136</v>
      </c>
      <c r="Q39" s="272" t="s">
        <v>136</v>
      </c>
      <c r="R39" s="251" t="s">
        <v>136</v>
      </c>
      <c r="S39" s="254"/>
      <c r="T39" s="275"/>
      <c r="U39" s="267"/>
      <c r="V39" s="244"/>
      <c r="W39" s="244"/>
      <c r="X39" s="244"/>
      <c r="Y39" s="244"/>
      <c r="Z39" s="244"/>
      <c r="AA39" s="331">
        <f t="shared" ref="AA39" si="22">SUM(T39:Z39)</f>
        <v>0</v>
      </c>
      <c r="AB39" s="31"/>
      <c r="AC39" s="31"/>
    </row>
    <row r="40" spans="2:37" ht="19.5" hidden="1" customHeight="1">
      <c r="B40" s="2"/>
      <c r="C40" s="673">
        <v>17</v>
      </c>
      <c r="D40" s="698" t="s">
        <v>169</v>
      </c>
      <c r="E40" s="695" t="s">
        <v>170</v>
      </c>
      <c r="F40" s="669" t="s">
        <v>112</v>
      </c>
      <c r="G40" s="228" t="s">
        <v>86</v>
      </c>
      <c r="H40" s="229"/>
      <c r="I40" s="229"/>
      <c r="J40" s="230"/>
      <c r="K40" s="35"/>
      <c r="L40" s="35"/>
      <c r="M40" s="108"/>
      <c r="N40" s="244" t="s">
        <v>136</v>
      </c>
      <c r="O40" s="244" t="s">
        <v>136</v>
      </c>
      <c r="P40" s="245" t="s">
        <v>136</v>
      </c>
      <c r="Q40" s="245" t="s">
        <v>136</v>
      </c>
      <c r="R40" s="251" t="s">
        <v>136</v>
      </c>
      <c r="S40" s="251" t="s">
        <v>136</v>
      </c>
      <c r="T40" s="247" t="s">
        <v>160</v>
      </c>
      <c r="U40" s="244" t="s">
        <v>136</v>
      </c>
      <c r="V40" s="244" t="s">
        <v>136</v>
      </c>
      <c r="W40" s="244" t="s">
        <v>136</v>
      </c>
      <c r="X40" s="244" t="s">
        <v>136</v>
      </c>
      <c r="Y40" s="244" t="s">
        <v>136</v>
      </c>
      <c r="Z40" s="244" t="s">
        <v>136</v>
      </c>
      <c r="AA40" s="330">
        <f>SUM(T40:Z40)</f>
        <v>0</v>
      </c>
      <c r="AB40" s="31"/>
      <c r="AC40" s="31"/>
    </row>
    <row r="41" spans="2:37" ht="19.5" hidden="1" customHeight="1">
      <c r="B41" s="2"/>
      <c r="C41" s="674"/>
      <c r="D41" s="698"/>
      <c r="E41" s="696"/>
      <c r="F41" s="672"/>
      <c r="G41" s="168" t="s">
        <v>99</v>
      </c>
      <c r="H41" s="229"/>
      <c r="I41" s="229"/>
      <c r="J41" s="230"/>
      <c r="K41" s="35"/>
      <c r="L41" s="35"/>
      <c r="M41" s="108"/>
      <c r="N41" s="254" t="s">
        <v>136</v>
      </c>
      <c r="O41" s="254" t="s">
        <v>136</v>
      </c>
      <c r="P41" s="272" t="s">
        <v>136</v>
      </c>
      <c r="Q41" s="272" t="s">
        <v>136</v>
      </c>
      <c r="R41" s="251"/>
      <c r="S41" s="251"/>
      <c r="T41" s="275"/>
      <c r="U41" s="244"/>
      <c r="V41" s="244"/>
      <c r="W41" s="244"/>
      <c r="X41" s="244"/>
      <c r="Y41" s="244"/>
      <c r="Z41" s="244"/>
      <c r="AA41" s="331">
        <f>SUM(T41:Z41)</f>
        <v>0</v>
      </c>
      <c r="AB41" s="31"/>
      <c r="AC41" s="31"/>
    </row>
    <row r="42" spans="2:37" ht="19.5" hidden="1" customHeight="1">
      <c r="B42" s="2"/>
      <c r="C42" s="673">
        <v>18</v>
      </c>
      <c r="D42" s="698" t="s">
        <v>171</v>
      </c>
      <c r="E42" s="695" t="s">
        <v>172</v>
      </c>
      <c r="F42" s="669" t="s">
        <v>146</v>
      </c>
      <c r="G42" s="228" t="s">
        <v>86</v>
      </c>
      <c r="H42" s="229"/>
      <c r="I42" s="229"/>
      <c r="J42" s="230"/>
      <c r="K42" s="35"/>
      <c r="L42" s="35"/>
      <c r="M42" s="108"/>
      <c r="N42" s="244" t="s">
        <v>136</v>
      </c>
      <c r="O42" s="244" t="s">
        <v>136</v>
      </c>
      <c r="P42" s="245" t="s">
        <v>136</v>
      </c>
      <c r="Q42" s="245" t="s">
        <v>136</v>
      </c>
      <c r="R42" s="251" t="s">
        <v>136</v>
      </c>
      <c r="S42" s="244" t="s">
        <v>136</v>
      </c>
      <c r="T42" s="247" t="s">
        <v>160</v>
      </c>
      <c r="U42" s="244" t="s">
        <v>136</v>
      </c>
      <c r="V42" s="244" t="s">
        <v>136</v>
      </c>
      <c r="W42" s="244" t="s">
        <v>136</v>
      </c>
      <c r="X42" s="244" t="s">
        <v>136</v>
      </c>
      <c r="Y42" s="244" t="s">
        <v>136</v>
      </c>
      <c r="Z42" s="244" t="s">
        <v>136</v>
      </c>
      <c r="AA42" s="330">
        <f>SUM(T42:Z42)</f>
        <v>0</v>
      </c>
      <c r="AB42" s="31"/>
      <c r="AC42" s="31"/>
    </row>
    <row r="43" spans="2:37" ht="19.5" hidden="1" customHeight="1">
      <c r="B43" s="2"/>
      <c r="C43" s="674"/>
      <c r="D43" s="698"/>
      <c r="E43" s="696"/>
      <c r="F43" s="670"/>
      <c r="G43" s="168" t="s">
        <v>99</v>
      </c>
      <c r="H43" s="229"/>
      <c r="I43" s="229"/>
      <c r="J43" s="230"/>
      <c r="K43" s="35"/>
      <c r="L43" s="35"/>
      <c r="M43" s="108"/>
      <c r="N43" s="254" t="s">
        <v>136</v>
      </c>
      <c r="O43" s="254" t="s">
        <v>136</v>
      </c>
      <c r="P43" s="272" t="s">
        <v>136</v>
      </c>
      <c r="Q43" s="272" t="s">
        <v>136</v>
      </c>
      <c r="R43" s="277"/>
      <c r="S43" s="278"/>
      <c r="T43" s="275"/>
      <c r="U43" s="244"/>
      <c r="V43" s="244"/>
      <c r="W43" s="244"/>
      <c r="X43" s="244"/>
      <c r="Y43" s="244"/>
      <c r="Z43" s="244"/>
      <c r="AA43" s="331">
        <f>SUM(T43:Z43)</f>
        <v>0</v>
      </c>
      <c r="AB43" s="31"/>
      <c r="AC43" s="31"/>
    </row>
    <row r="44" spans="2:37" ht="19.5" customHeight="1">
      <c r="B44" s="2"/>
      <c r="C44" s="704" t="s">
        <v>122</v>
      </c>
      <c r="D44" s="705"/>
      <c r="E44" s="705"/>
      <c r="F44" s="706"/>
      <c r="G44" s="227" t="s">
        <v>124</v>
      </c>
      <c r="H44" s="12">
        <f>SUMIF(G4:G27,"計画",H4:H27)</f>
        <v>0</v>
      </c>
      <c r="I44" s="12">
        <f>SUMIF(G4:G27,"計画",I4:I27)</f>
        <v>300</v>
      </c>
      <c r="J44" s="12">
        <f>SUMIF(G4:G27,"計画",J4:J27)</f>
        <v>300</v>
      </c>
      <c r="K44" s="12">
        <f ca="1">SUMIF(G4:J27,"計画",K4:K27)</f>
        <v>300</v>
      </c>
      <c r="L44" s="12">
        <f>SUMIF(G4:G27,"計画",L4:L27)</f>
        <v>300</v>
      </c>
      <c r="M44" s="76">
        <f ca="1">SUM(H44:L44)</f>
        <v>1200</v>
      </c>
      <c r="N44" s="279">
        <f ca="1">SUMIF(G4:M43,"計画",N4:N43)</f>
        <v>650</v>
      </c>
      <c r="O44" s="279">
        <f>SUMIF(G4:G27,"計画",O4:O27)</f>
        <v>760</v>
      </c>
      <c r="P44" s="280">
        <f>SUMIF(G4:G27,"計画",P4:P27)</f>
        <v>950</v>
      </c>
      <c r="Q44" s="281">
        <f ca="1">SUMIF(G4:M43,"計画",Q4:Q27)</f>
        <v>1150</v>
      </c>
      <c r="R44" s="325">
        <f>SUMIF(G4:G27,"計画",R4:R27)</f>
        <v>845</v>
      </c>
      <c r="S44" s="282">
        <f>SUMIF(G4:G27,"計画",S4:S27)</f>
        <v>900</v>
      </c>
      <c r="T44" s="327">
        <f ca="1">SUM(N44:S44)</f>
        <v>5255</v>
      </c>
      <c r="U44" s="326">
        <f>SUMIF(G4:G43,"計画",U4:U43)</f>
        <v>1000</v>
      </c>
      <c r="V44" s="279">
        <f>SUMIF(G4:G43,"計画",V4:V43)</f>
        <v>800</v>
      </c>
      <c r="W44" s="279">
        <f>SUMIF(G4:G43,"計画",W4:W43)</f>
        <v>1180</v>
      </c>
      <c r="X44" s="279">
        <f>SUMIF(G4:G43,"計画",X4:X43)</f>
        <v>1290</v>
      </c>
      <c r="Y44" s="279">
        <f ca="1">SUMIF(G4:M43,"計画",Y4:Y43)</f>
        <v>1190</v>
      </c>
      <c r="Z44" s="280">
        <f ca="1">SUMIF(G4:M43,"計画",Z4:Z43)</f>
        <v>835</v>
      </c>
      <c r="AA44" s="332">
        <f ca="1">T44+SUM(U44:Z44)</f>
        <v>11550</v>
      </c>
      <c r="AB44" s="336">
        <f ca="1">SUMIF(G4:G43,"計画",AB4:AB37)</f>
        <v>29822000</v>
      </c>
      <c r="AC44" s="509">
        <f ca="1">AB44/10000</f>
        <v>2982.2</v>
      </c>
      <c r="AD44" s="1" t="s">
        <v>195</v>
      </c>
      <c r="AE44" s="734" t="s">
        <v>193</v>
      </c>
      <c r="AF44" s="31" t="s">
        <v>192</v>
      </c>
      <c r="AG44" s="340">
        <f ca="1">AC44-AC49</f>
        <v>1220.1999999999998</v>
      </c>
      <c r="AH44" s="31"/>
      <c r="AI44" s="31"/>
      <c r="AJ44" s="31"/>
      <c r="AK44" s="31"/>
    </row>
    <row r="45" spans="2:37" ht="19.5" customHeight="1">
      <c r="B45" s="2"/>
      <c r="C45" s="707"/>
      <c r="D45" s="708"/>
      <c r="E45" s="708"/>
      <c r="F45" s="709"/>
      <c r="G45" s="170" t="s">
        <v>87</v>
      </c>
      <c r="H45" s="10">
        <f>SUMIF(G4:G44,"実績",H4:H44)</f>
        <v>3</v>
      </c>
      <c r="I45" s="10">
        <f ca="1">SUMIF(G4:H44,"実績",I4:I44)</f>
        <v>74</v>
      </c>
      <c r="J45" s="10">
        <f ca="1">SUMIF(G4:I27,"実績",J4:J27)</f>
        <v>109</v>
      </c>
      <c r="K45" s="10">
        <f ca="1">SUMIF(G4:J27,"実績",K4:K27)</f>
        <v>150</v>
      </c>
      <c r="L45" s="10">
        <f ca="1">SUMIF(G4:K27,"実績",L4:L27)</f>
        <v>446</v>
      </c>
      <c r="M45" s="155">
        <f ca="1">SUM(H45:L45)</f>
        <v>782</v>
      </c>
      <c r="N45" s="285">
        <f>SUMIF(G4:G27,"実績",N4:N27)</f>
        <v>194</v>
      </c>
      <c r="O45" s="285">
        <f ca="1">SUMIF(G4:H27,"実績",O4:O27)</f>
        <v>280</v>
      </c>
      <c r="P45" s="286">
        <f ca="1">SUMIF(G4:H43,"実績",P4:P27)</f>
        <v>461</v>
      </c>
      <c r="Q45" s="287">
        <f ca="1">SUMIF(G4:J43,"実績",Q4:Q43)</f>
        <v>162</v>
      </c>
      <c r="R45" s="322">
        <f ca="1">SUMIF(G4:K43,"実績",R4:R27)</f>
        <v>274</v>
      </c>
      <c r="S45" s="323">
        <f ca="1">SUMIF(G4:L43,"実績",S4:S27)</f>
        <v>170.5</v>
      </c>
      <c r="T45" s="289">
        <f ca="1">SUM(N45:S45)</f>
        <v>1541.5</v>
      </c>
      <c r="U45" s="285">
        <f ca="1">SUMIF(G4:M43,"実績",U4:U43)</f>
        <v>160</v>
      </c>
      <c r="V45" s="285">
        <f ca="1">SUMIF(G4:M43,"実績",V4:V43)</f>
        <v>231</v>
      </c>
      <c r="W45" s="285">
        <f ca="1">SUMIF(G4:M43,"実績",W4:W43)</f>
        <v>168</v>
      </c>
      <c r="X45" s="285">
        <f ca="1">SUMIF(G4:M43,"実績",X4:X43)</f>
        <v>318.25</v>
      </c>
      <c r="Y45" s="515">
        <f ca="1">SUMIF(G4:M43,"実績",Y4:Y43)</f>
        <v>260</v>
      </c>
      <c r="Z45" s="285">
        <f ca="1">SUMIF(G4:M43,"実績",Z4:Z43)</f>
        <v>0</v>
      </c>
      <c r="AA45" s="333">
        <f ca="1">SUM(T45:Z45)</f>
        <v>2678.75</v>
      </c>
      <c r="AB45" s="336">
        <f ca="1">SUMIF(G4:M43,"実績",AB4:AB43)</f>
        <v>7696400</v>
      </c>
      <c r="AC45" s="509">
        <f ca="1">AB45/10000</f>
        <v>769.64</v>
      </c>
      <c r="AD45" s="1" t="s">
        <v>195</v>
      </c>
      <c r="AE45" s="735"/>
      <c r="AF45" s="31" t="s">
        <v>99</v>
      </c>
      <c r="AG45" s="341">
        <f ca="1">AC45-AC49</f>
        <v>-992.36</v>
      </c>
      <c r="AH45" s="31"/>
      <c r="AI45" s="31"/>
      <c r="AJ45" s="31"/>
      <c r="AK45" s="31"/>
    </row>
    <row r="46" spans="2:37" ht="19.5" customHeight="1">
      <c r="B46" s="2"/>
      <c r="C46" s="645" t="s">
        <v>123</v>
      </c>
      <c r="D46" s="646"/>
      <c r="E46" s="646"/>
      <c r="F46" s="647"/>
      <c r="G46" s="12" t="s">
        <v>124</v>
      </c>
      <c r="H46" s="12"/>
      <c r="I46" s="12"/>
      <c r="J46" s="12"/>
      <c r="K46" s="12"/>
      <c r="L46" s="12"/>
      <c r="M46" s="143"/>
      <c r="N46" s="290">
        <f ca="1">N44</f>
        <v>650</v>
      </c>
      <c r="O46" s="284">
        <f t="shared" ref="O46:S47" ca="1" si="23">N46+O44</f>
        <v>1410</v>
      </c>
      <c r="P46" s="280">
        <f t="shared" ca="1" si="23"/>
        <v>2360</v>
      </c>
      <c r="Q46" s="281">
        <f t="shared" ca="1" si="23"/>
        <v>3510</v>
      </c>
      <c r="R46" s="324">
        <f t="shared" ca="1" si="23"/>
        <v>4355</v>
      </c>
      <c r="S46" s="284">
        <f t="shared" ca="1" si="23"/>
        <v>5255</v>
      </c>
      <c r="T46" s="327">
        <f ca="1">S46</f>
        <v>5255</v>
      </c>
      <c r="U46" s="326">
        <f ca="1">S46+U44</f>
        <v>6255</v>
      </c>
      <c r="V46" s="292">
        <f ca="1">U46+V44</f>
        <v>7055</v>
      </c>
      <c r="W46" s="292">
        <f ca="1">V46+W44</f>
        <v>8235</v>
      </c>
      <c r="X46" s="292">
        <f t="shared" ref="V46:Y47" ca="1" si="24">W46+X44</f>
        <v>9525</v>
      </c>
      <c r="Y46" s="292">
        <f t="shared" ca="1" si="24"/>
        <v>10715</v>
      </c>
      <c r="Z46" s="293">
        <f ca="1">Y46+Z44</f>
        <v>11550</v>
      </c>
      <c r="AA46" s="334">
        <f ca="1">Z46</f>
        <v>11550</v>
      </c>
      <c r="AB46" s="345" t="s">
        <v>216</v>
      </c>
      <c r="AC46" s="508">
        <f ca="1">AC44-AC45</f>
        <v>2212.56</v>
      </c>
      <c r="AD46" s="1" t="s">
        <v>195</v>
      </c>
      <c r="AE46" s="31"/>
      <c r="AF46" s="31" t="s">
        <v>216</v>
      </c>
      <c r="AG46" s="340">
        <f ca="1">AG44-AG45</f>
        <v>2212.56</v>
      </c>
      <c r="AH46" s="31"/>
      <c r="AI46" s="31"/>
      <c r="AJ46" s="31"/>
      <c r="AK46" s="31"/>
    </row>
    <row r="47" spans="2:37" ht="19.5" customHeight="1">
      <c r="B47" s="2"/>
      <c r="C47" s="717"/>
      <c r="D47" s="718"/>
      <c r="E47" s="718"/>
      <c r="F47" s="719"/>
      <c r="G47" s="170" t="s">
        <v>99</v>
      </c>
      <c r="H47" s="463"/>
      <c r="I47" s="463"/>
      <c r="J47" s="463"/>
      <c r="K47" s="463"/>
      <c r="L47" s="463"/>
      <c r="M47" s="463"/>
      <c r="N47" s="464">
        <f>N45</f>
        <v>194</v>
      </c>
      <c r="O47" s="465">
        <f ca="1">N47+O45</f>
        <v>474</v>
      </c>
      <c r="P47" s="466">
        <f ca="1">O47+P45</f>
        <v>935</v>
      </c>
      <c r="Q47" s="467">
        <f ca="1">P47+Q45</f>
        <v>1097</v>
      </c>
      <c r="R47" s="468">
        <f t="shared" ca="1" si="23"/>
        <v>1371</v>
      </c>
      <c r="S47" s="469">
        <f ca="1">R47+S45</f>
        <v>1541.5</v>
      </c>
      <c r="T47" s="470">
        <f ca="1">S47</f>
        <v>1541.5</v>
      </c>
      <c r="U47" s="465">
        <f ca="1">T47+U45</f>
        <v>1701.5</v>
      </c>
      <c r="V47" s="471">
        <f t="shared" ca="1" si="24"/>
        <v>1932.5</v>
      </c>
      <c r="W47" s="471">
        <f t="shared" ca="1" si="24"/>
        <v>2100.5</v>
      </c>
      <c r="X47" s="285">
        <f t="shared" ca="1" si="24"/>
        <v>2418.75</v>
      </c>
      <c r="Y47" s="472">
        <f ca="1">X47+Y45</f>
        <v>2678.75</v>
      </c>
      <c r="Z47" s="471">
        <f ca="1">Y47+Z45</f>
        <v>2678.75</v>
      </c>
      <c r="AA47" s="337">
        <f ca="1">Z47</f>
        <v>2678.75</v>
      </c>
      <c r="AB47" s="338"/>
      <c r="AC47" s="338"/>
      <c r="AE47" s="31"/>
      <c r="AF47" s="31"/>
      <c r="AG47" s="31"/>
      <c r="AH47" s="31"/>
      <c r="AI47" s="31"/>
      <c r="AJ47" s="31"/>
      <c r="AK47" s="31"/>
    </row>
    <row r="48" spans="2:37" ht="19.5" customHeight="1">
      <c r="B48" s="2"/>
      <c r="C48" s="514"/>
      <c r="D48" s="346"/>
      <c r="E48" s="346"/>
      <c r="F48" s="346" t="s">
        <v>216</v>
      </c>
      <c r="G48" s="473"/>
      <c r="H48" s="474"/>
      <c r="I48" s="474"/>
      <c r="J48" s="474"/>
      <c r="K48" s="474"/>
      <c r="L48" s="474"/>
      <c r="M48" s="474"/>
      <c r="N48" s="475"/>
      <c r="O48" s="475"/>
      <c r="P48" s="475"/>
      <c r="Q48" s="475"/>
      <c r="R48" s="475"/>
      <c r="S48" s="475"/>
      <c r="T48" s="475"/>
      <c r="U48" s="475"/>
      <c r="V48" s="476"/>
      <c r="W48" s="476"/>
      <c r="X48" s="477">
        <f ca="1">AA46-X47</f>
        <v>9131.25</v>
      </c>
      <c r="Y48" s="477">
        <f ca="1">AA46-Y47</f>
        <v>8871.25</v>
      </c>
      <c r="Z48" s="477">
        <f ca="1">AA46-Z47</f>
        <v>8871.25</v>
      </c>
      <c r="AA48" s="510"/>
      <c r="AB48" s="338"/>
      <c r="AC48" s="338"/>
      <c r="AE48" s="31"/>
      <c r="AF48" s="31"/>
      <c r="AG48" s="31"/>
      <c r="AH48" s="31"/>
      <c r="AI48" s="31"/>
      <c r="AJ48" s="31"/>
      <c r="AK48" s="31"/>
    </row>
    <row r="49" spans="2:37" ht="22.5" customHeight="1">
      <c r="B49" s="2"/>
      <c r="C49" s="512"/>
      <c r="D49" s="511"/>
      <c r="E49" s="512"/>
      <c r="F49" s="31" t="s">
        <v>217</v>
      </c>
      <c r="G49" s="31"/>
      <c r="H49" s="31"/>
      <c r="I49" s="31"/>
      <c r="J49" s="31"/>
      <c r="K49" s="31"/>
      <c r="L49" s="31"/>
      <c r="M49" s="478"/>
      <c r="N49" s="479"/>
      <c r="O49" s="479"/>
      <c r="P49" s="479"/>
      <c r="Q49" s="479"/>
      <c r="R49" s="480"/>
      <c r="S49" s="479"/>
      <c r="T49" s="481"/>
      <c r="U49" s="479"/>
      <c r="V49" s="479"/>
      <c r="W49" s="479"/>
      <c r="X49" s="482">
        <f ca="1">X47/AA46</f>
        <v>0.20941558441558442</v>
      </c>
      <c r="Y49" s="482">
        <f ca="1">Y47/AA46</f>
        <v>0.23192640692640693</v>
      </c>
      <c r="Z49" s="482">
        <f ca="1">Z47/AA46</f>
        <v>0.23192640692640693</v>
      </c>
      <c r="AA49" s="732" t="s">
        <v>218</v>
      </c>
      <c r="AB49" s="733"/>
      <c r="AC49" s="513">
        <v>1762</v>
      </c>
      <c r="AD49" s="1" t="s">
        <v>195</v>
      </c>
      <c r="AE49" s="31"/>
      <c r="AF49" s="31"/>
      <c r="AG49" s="31"/>
      <c r="AH49" s="31"/>
      <c r="AI49" s="31"/>
      <c r="AJ49" s="31"/>
      <c r="AK49" s="31"/>
    </row>
    <row r="50" spans="2:37" ht="22.5" customHeight="1">
      <c r="B50" s="2"/>
      <c r="H50" s="735"/>
      <c r="I50" s="735"/>
      <c r="J50" s="735"/>
      <c r="K50" s="728"/>
      <c r="L50" s="728"/>
      <c r="M50" s="728"/>
      <c r="T50" s="231"/>
      <c r="V50" s="729" t="s">
        <v>86</v>
      </c>
      <c r="W50" s="729"/>
      <c r="X50" s="729"/>
      <c r="Y50" s="730" t="s">
        <v>99</v>
      </c>
      <c r="Z50" s="730"/>
      <c r="AA50" s="730"/>
      <c r="AC50" s="339"/>
    </row>
    <row r="51" spans="2:37" ht="22.5" customHeight="1">
      <c r="B51" s="2"/>
      <c r="D51" s="590"/>
      <c r="E51" s="591"/>
      <c r="F51" s="591"/>
      <c r="G51" s="592"/>
      <c r="H51" s="587"/>
      <c r="I51" s="588"/>
      <c r="J51" s="589"/>
      <c r="K51" s="587"/>
      <c r="L51" s="588"/>
      <c r="M51" s="589"/>
      <c r="O51" s="702" t="s">
        <v>103</v>
      </c>
      <c r="P51" s="702"/>
      <c r="Q51" s="702"/>
      <c r="R51" s="702"/>
      <c r="S51" s="702"/>
      <c r="T51" s="702"/>
      <c r="U51" s="702"/>
      <c r="V51" s="699">
        <f ca="1">SUM(AA44)</f>
        <v>11550</v>
      </c>
      <c r="W51" s="700"/>
      <c r="X51" s="701"/>
      <c r="Y51" s="699">
        <f ca="1">AA47</f>
        <v>2678.75</v>
      </c>
      <c r="Z51" s="700"/>
      <c r="AA51" s="701"/>
    </row>
    <row r="52" spans="2:37" ht="22.5" customHeight="1">
      <c r="D52" s="590"/>
      <c r="E52" s="591"/>
      <c r="F52" s="591"/>
      <c r="G52" s="592"/>
      <c r="H52" s="587"/>
      <c r="I52" s="588"/>
      <c r="J52" s="589"/>
      <c r="K52" s="587"/>
      <c r="L52" s="588"/>
      <c r="M52" s="589"/>
      <c r="O52" s="702" t="s">
        <v>35</v>
      </c>
      <c r="P52" s="702"/>
      <c r="Q52" s="702"/>
      <c r="R52" s="702"/>
      <c r="S52" s="702"/>
      <c r="T52" s="702"/>
      <c r="U52" s="702"/>
      <c r="V52" s="699">
        <f ca="1">V51*1800</f>
        <v>20790000</v>
      </c>
      <c r="W52" s="700"/>
      <c r="X52" s="701"/>
      <c r="Y52" s="699">
        <f ca="1">Y51*1800</f>
        <v>4821750</v>
      </c>
      <c r="Z52" s="700"/>
      <c r="AA52" s="701"/>
    </row>
    <row r="53" spans="2:37">
      <c r="D53" s="590"/>
      <c r="E53" s="591"/>
      <c r="F53" s="591"/>
      <c r="G53" s="592"/>
      <c r="H53" s="587"/>
      <c r="I53" s="588"/>
      <c r="J53" s="589"/>
      <c r="K53" s="587"/>
      <c r="L53" s="588"/>
      <c r="M53" s="589"/>
      <c r="O53" s="702" t="s">
        <v>36</v>
      </c>
      <c r="P53" s="702"/>
      <c r="Q53" s="702"/>
      <c r="R53" s="702"/>
      <c r="S53" s="702"/>
      <c r="T53" s="702"/>
      <c r="U53" s="702"/>
      <c r="V53" s="699">
        <v>165</v>
      </c>
      <c r="W53" s="700"/>
      <c r="X53" s="701"/>
      <c r="Y53" s="699">
        <v>165</v>
      </c>
      <c r="Z53" s="700"/>
      <c r="AA53" s="701"/>
    </row>
    <row r="54" spans="2:37">
      <c r="D54" s="590"/>
      <c r="E54" s="591"/>
      <c r="F54" s="591"/>
      <c r="G54" s="592"/>
      <c r="H54" s="587"/>
      <c r="I54" s="588"/>
      <c r="J54" s="589"/>
      <c r="K54" s="587"/>
      <c r="L54" s="588"/>
      <c r="M54" s="589"/>
      <c r="O54" s="702" t="s">
        <v>37</v>
      </c>
      <c r="P54" s="702"/>
      <c r="Q54" s="702"/>
      <c r="R54" s="702"/>
      <c r="S54" s="702"/>
      <c r="T54" s="702"/>
      <c r="U54" s="702"/>
      <c r="V54" s="699">
        <f ca="1">V52*V53</f>
        <v>3430350000</v>
      </c>
      <c r="W54" s="700"/>
      <c r="X54" s="701"/>
      <c r="Y54" s="699">
        <f ca="1">Y52*Y53</f>
        <v>795588750</v>
      </c>
      <c r="Z54" s="700"/>
      <c r="AA54" s="701"/>
    </row>
    <row r="55" spans="2:37" ht="19.149999999999999" customHeight="1">
      <c r="C55" s="139"/>
      <c r="D55" s="191"/>
      <c r="E55" s="139"/>
      <c r="F55" s="139"/>
      <c r="G55" s="139"/>
      <c r="H55" s="139"/>
      <c r="I55" s="139"/>
      <c r="J55" s="139"/>
      <c r="K55" s="139"/>
      <c r="L55" s="139"/>
      <c r="M55" s="139"/>
      <c r="N55" s="233"/>
      <c r="O55" s="233"/>
      <c r="P55" s="233"/>
      <c r="Q55" s="233"/>
      <c r="R55" s="303"/>
      <c r="S55" s="233"/>
      <c r="T55" s="233"/>
      <c r="U55" s="233"/>
      <c r="V55" s="233"/>
      <c r="W55" s="233"/>
      <c r="X55" s="233"/>
      <c r="Y55" s="233"/>
      <c r="Z55" s="233"/>
      <c r="AA55" s="233"/>
    </row>
    <row r="56" spans="2:37">
      <c r="C56" s="139"/>
      <c r="D56" s="191"/>
      <c r="E56" s="139"/>
      <c r="F56" s="139"/>
      <c r="G56" s="139"/>
      <c r="H56" s="139"/>
      <c r="I56" s="139"/>
      <c r="J56" s="139"/>
      <c r="K56" s="139"/>
      <c r="L56" s="139"/>
      <c r="M56" s="139"/>
      <c r="N56" s="233"/>
      <c r="O56" s="233"/>
      <c r="P56" s="233"/>
      <c r="Q56" s="233"/>
      <c r="R56" s="303"/>
      <c r="S56" s="233"/>
      <c r="T56" s="233"/>
      <c r="U56" s="233"/>
      <c r="V56" s="233"/>
      <c r="W56" s="233"/>
      <c r="X56" s="233"/>
      <c r="Y56" s="233"/>
      <c r="Z56" s="233"/>
      <c r="AA56" s="233"/>
    </row>
    <row r="57" spans="2:37">
      <c r="C57" s="139"/>
      <c r="D57" s="191"/>
      <c r="E57" s="139"/>
      <c r="F57" s="139"/>
      <c r="G57" s="139"/>
      <c r="H57" s="139"/>
      <c r="I57" s="139"/>
      <c r="J57" s="139"/>
      <c r="K57" s="139"/>
      <c r="L57" s="139"/>
      <c r="M57" s="139"/>
      <c r="N57" s="233"/>
      <c r="O57" s="233"/>
      <c r="P57" s="233"/>
      <c r="Q57" s="233"/>
      <c r="R57" s="303"/>
      <c r="S57" s="233"/>
      <c r="T57" s="233"/>
      <c r="U57" s="233"/>
      <c r="V57" s="233"/>
      <c r="W57" s="233"/>
      <c r="X57" s="233"/>
      <c r="Y57" s="233"/>
      <c r="Z57" s="233"/>
      <c r="AA57" s="233"/>
    </row>
    <row r="58" spans="2:37">
      <c r="C58" s="139"/>
      <c r="D58" s="191"/>
      <c r="E58" s="139"/>
      <c r="F58" s="139"/>
      <c r="G58" s="139"/>
      <c r="H58" s="139"/>
      <c r="I58" s="139"/>
      <c r="J58" s="139"/>
      <c r="K58" s="139"/>
      <c r="L58" s="139"/>
      <c r="M58" s="139"/>
      <c r="N58" s="233"/>
      <c r="O58" s="233"/>
      <c r="P58" s="233"/>
      <c r="Q58" s="233"/>
      <c r="R58" s="303"/>
      <c r="S58" s="233"/>
      <c r="T58" s="233"/>
      <c r="U58" s="233"/>
      <c r="V58" s="233"/>
      <c r="W58" s="233"/>
      <c r="X58" s="233"/>
      <c r="Y58" s="233"/>
      <c r="Z58" s="233"/>
      <c r="AA58" s="233"/>
    </row>
    <row r="59" spans="2:37" s="139" customFormat="1">
      <c r="D59" s="191"/>
      <c r="N59" s="233"/>
      <c r="O59" s="233"/>
      <c r="P59" s="233"/>
      <c r="Q59" s="233"/>
      <c r="R59" s="303"/>
      <c r="S59" s="233"/>
      <c r="T59" s="233"/>
      <c r="U59" s="233"/>
      <c r="V59" s="233"/>
      <c r="W59" s="233"/>
      <c r="X59" s="233"/>
      <c r="Y59" s="233"/>
      <c r="Z59" s="233"/>
      <c r="AA59" s="233"/>
    </row>
    <row r="60" spans="2:37" s="139" customFormat="1">
      <c r="D60" s="191"/>
      <c r="N60" s="233"/>
      <c r="O60" s="233"/>
      <c r="P60" s="233"/>
      <c r="Q60" s="233"/>
      <c r="R60" s="303"/>
      <c r="S60" s="233"/>
      <c r="T60" s="233"/>
      <c r="U60" s="233"/>
      <c r="V60" s="233"/>
      <c r="W60" s="233"/>
      <c r="X60" s="233"/>
      <c r="Y60" s="233"/>
      <c r="Z60" s="233"/>
      <c r="AA60" s="233"/>
    </row>
    <row r="61" spans="2:37" s="139" customFormat="1">
      <c r="D61" s="191"/>
      <c r="N61" s="233"/>
      <c r="O61" s="233"/>
      <c r="P61" s="233"/>
      <c r="Q61" s="233"/>
      <c r="R61" s="303"/>
      <c r="S61" s="233"/>
      <c r="T61" s="233"/>
      <c r="U61" s="233"/>
      <c r="V61" s="233"/>
      <c r="W61" s="233"/>
      <c r="X61" s="233"/>
      <c r="Y61" s="233"/>
      <c r="Z61" s="233"/>
      <c r="AA61" s="233"/>
    </row>
    <row r="62" spans="2:37" s="139" customFormat="1">
      <c r="D62" s="191"/>
      <c r="N62" s="233"/>
      <c r="O62" s="233"/>
      <c r="P62" s="233"/>
      <c r="Q62" s="233"/>
      <c r="R62" s="303"/>
      <c r="S62" s="233"/>
      <c r="T62" s="233"/>
      <c r="U62" s="233"/>
      <c r="V62" s="233"/>
      <c r="W62" s="233"/>
      <c r="X62" s="233"/>
      <c r="Y62" s="233"/>
      <c r="Z62" s="233"/>
      <c r="AA62" s="233"/>
    </row>
    <row r="63" spans="2:37" s="139" customFormat="1">
      <c r="D63" s="191"/>
      <c r="N63" s="233"/>
      <c r="O63" s="233"/>
      <c r="P63" s="233"/>
      <c r="Q63" s="233"/>
      <c r="R63" s="303"/>
      <c r="S63" s="233"/>
      <c r="T63" s="233"/>
      <c r="U63" s="233"/>
      <c r="V63" s="233"/>
      <c r="W63" s="233"/>
      <c r="X63" s="233"/>
      <c r="Y63" s="233"/>
      <c r="Z63" s="233"/>
      <c r="AA63" s="233"/>
    </row>
    <row r="64" spans="2:37" s="139" customFormat="1">
      <c r="D64" s="191"/>
      <c r="N64" s="233"/>
      <c r="O64" s="233"/>
      <c r="P64" s="233"/>
      <c r="Q64" s="233"/>
      <c r="R64" s="303"/>
      <c r="S64" s="233"/>
      <c r="T64" s="233"/>
      <c r="U64" s="233"/>
      <c r="V64" s="233"/>
      <c r="W64" s="233"/>
      <c r="X64" s="233"/>
      <c r="Y64" s="233"/>
      <c r="Z64" s="233"/>
      <c r="AA64" s="233"/>
    </row>
    <row r="65" spans="4:27" s="139" customFormat="1">
      <c r="D65" s="191"/>
      <c r="N65" s="233"/>
      <c r="O65" s="233"/>
      <c r="P65" s="233"/>
      <c r="Q65" s="233"/>
      <c r="R65" s="303"/>
      <c r="S65" s="233"/>
      <c r="T65" s="233"/>
      <c r="U65" s="233"/>
      <c r="V65" s="233"/>
      <c r="W65" s="233"/>
      <c r="X65" s="233"/>
      <c r="Y65" s="233"/>
      <c r="Z65" s="233"/>
      <c r="AA65" s="233"/>
    </row>
    <row r="66" spans="4:27" s="139" customFormat="1">
      <c r="D66" s="191"/>
      <c r="N66" s="233"/>
      <c r="O66" s="233"/>
      <c r="P66" s="233"/>
      <c r="Q66" s="233"/>
      <c r="R66" s="303"/>
      <c r="S66" s="233"/>
      <c r="T66" s="233"/>
      <c r="U66" s="233"/>
      <c r="V66" s="233"/>
      <c r="W66" s="233"/>
      <c r="X66" s="233"/>
      <c r="Y66" s="233"/>
      <c r="Z66" s="233"/>
      <c r="AA66" s="233"/>
    </row>
    <row r="67" spans="4:27" s="139" customFormat="1">
      <c r="D67" s="191"/>
      <c r="N67" s="233"/>
      <c r="O67" s="233"/>
      <c r="P67" s="233"/>
      <c r="Q67" s="233"/>
      <c r="R67" s="303"/>
      <c r="S67" s="233"/>
      <c r="T67" s="233"/>
      <c r="U67" s="233"/>
      <c r="V67" s="233"/>
      <c r="W67" s="233"/>
      <c r="X67" s="233"/>
      <c r="Y67" s="233"/>
      <c r="Z67" s="233"/>
      <c r="AA67" s="233"/>
    </row>
    <row r="68" spans="4:27" s="139" customFormat="1">
      <c r="D68" s="191"/>
      <c r="N68" s="233"/>
      <c r="O68" s="233"/>
      <c r="P68" s="233"/>
      <c r="Q68" s="233"/>
      <c r="R68" s="303"/>
      <c r="S68" s="233"/>
      <c r="T68" s="233"/>
      <c r="U68" s="233"/>
      <c r="V68" s="233"/>
      <c r="W68" s="233"/>
      <c r="X68" s="233"/>
      <c r="Y68" s="233"/>
      <c r="Z68" s="233"/>
      <c r="AA68" s="233"/>
    </row>
    <row r="69" spans="4:27" s="139" customFormat="1">
      <c r="D69" s="191"/>
      <c r="N69" s="233"/>
      <c r="O69" s="233"/>
      <c r="P69" s="233"/>
      <c r="Q69" s="233"/>
      <c r="R69" s="303"/>
      <c r="S69" s="233"/>
      <c r="T69" s="233"/>
      <c r="U69" s="233"/>
      <c r="V69" s="233"/>
      <c r="W69" s="233"/>
      <c r="X69" s="233"/>
      <c r="Y69" s="233"/>
      <c r="Z69" s="233"/>
      <c r="AA69" s="233"/>
    </row>
    <row r="70" spans="4:27" s="139" customFormat="1">
      <c r="D70" s="191"/>
      <c r="N70" s="233"/>
      <c r="O70" s="233"/>
      <c r="P70" s="233"/>
      <c r="Q70" s="233"/>
      <c r="R70" s="303"/>
      <c r="S70" s="233"/>
      <c r="T70" s="233"/>
      <c r="U70" s="233"/>
      <c r="V70" s="233"/>
      <c r="W70" s="233"/>
      <c r="X70" s="233"/>
      <c r="Y70" s="233"/>
      <c r="Z70" s="233"/>
      <c r="AA70" s="233"/>
    </row>
    <row r="71" spans="4:27" s="139" customFormat="1">
      <c r="D71" s="191"/>
      <c r="N71" s="233"/>
      <c r="O71" s="233"/>
      <c r="P71" s="233"/>
      <c r="Q71" s="233"/>
      <c r="R71" s="303"/>
      <c r="S71" s="233"/>
      <c r="T71" s="233"/>
      <c r="U71" s="233"/>
      <c r="V71" s="233"/>
      <c r="W71" s="233"/>
      <c r="X71" s="233"/>
      <c r="Y71" s="233"/>
      <c r="Z71" s="233"/>
      <c r="AA71" s="233"/>
    </row>
    <row r="72" spans="4:27" s="139" customFormat="1">
      <c r="D72" s="191"/>
      <c r="N72" s="233"/>
      <c r="O72" s="233"/>
      <c r="P72" s="233"/>
      <c r="Q72" s="233"/>
      <c r="R72" s="303"/>
      <c r="S72" s="233"/>
      <c r="T72" s="233"/>
      <c r="U72" s="233"/>
      <c r="V72" s="233"/>
      <c r="W72" s="233"/>
      <c r="X72" s="233"/>
      <c r="Y72" s="233"/>
      <c r="Z72" s="233"/>
      <c r="AA72" s="233"/>
    </row>
    <row r="73" spans="4:27" s="139" customFormat="1">
      <c r="D73" s="191"/>
      <c r="N73" s="233"/>
      <c r="O73" s="233"/>
      <c r="P73" s="233"/>
      <c r="Q73" s="233"/>
      <c r="R73" s="303"/>
      <c r="S73" s="233"/>
      <c r="T73" s="233"/>
      <c r="U73" s="233"/>
      <c r="V73" s="233"/>
      <c r="W73" s="233"/>
      <c r="X73" s="233"/>
      <c r="Y73" s="233"/>
      <c r="Z73" s="233"/>
      <c r="AA73" s="233"/>
    </row>
    <row r="74" spans="4:27" s="139" customFormat="1">
      <c r="D74" s="191"/>
      <c r="N74" s="233"/>
      <c r="O74" s="233"/>
      <c r="P74" s="233"/>
      <c r="Q74" s="233"/>
      <c r="R74" s="303"/>
      <c r="S74" s="233"/>
      <c r="T74" s="233"/>
      <c r="U74" s="233"/>
      <c r="V74" s="233"/>
      <c r="W74" s="233"/>
      <c r="X74" s="233"/>
      <c r="Y74" s="233"/>
      <c r="Z74" s="233"/>
      <c r="AA74" s="233"/>
    </row>
    <row r="75" spans="4:27" s="139" customFormat="1">
      <c r="D75" s="191"/>
      <c r="N75" s="233"/>
      <c r="O75" s="233"/>
      <c r="P75" s="233"/>
      <c r="Q75" s="233"/>
      <c r="R75" s="303"/>
      <c r="S75" s="233"/>
      <c r="T75" s="233"/>
      <c r="U75" s="233"/>
      <c r="V75" s="233"/>
      <c r="W75" s="233"/>
      <c r="X75" s="233"/>
      <c r="Y75" s="233"/>
      <c r="Z75" s="233"/>
      <c r="AA75" s="233"/>
    </row>
    <row r="76" spans="4:27" s="139" customFormat="1">
      <c r="D76" s="191"/>
      <c r="N76" s="233"/>
      <c r="O76" s="233"/>
      <c r="P76" s="233"/>
      <c r="Q76" s="233"/>
      <c r="R76" s="303"/>
      <c r="S76" s="233"/>
      <c r="T76" s="233"/>
      <c r="U76" s="233"/>
      <c r="V76" s="233"/>
      <c r="W76" s="233"/>
      <c r="X76" s="233"/>
      <c r="Y76" s="233"/>
      <c r="Z76" s="233"/>
      <c r="AA76" s="233"/>
    </row>
    <row r="77" spans="4:27" s="139" customFormat="1">
      <c r="D77" s="191"/>
      <c r="N77" s="233"/>
      <c r="O77" s="233"/>
      <c r="P77" s="233"/>
      <c r="Q77" s="233"/>
      <c r="R77" s="303"/>
      <c r="S77" s="233"/>
      <c r="T77" s="233"/>
      <c r="U77" s="233"/>
      <c r="V77" s="233"/>
      <c r="W77" s="233"/>
      <c r="X77" s="233"/>
      <c r="Y77" s="233"/>
      <c r="Z77" s="233"/>
      <c r="AA77" s="233"/>
    </row>
    <row r="78" spans="4:27" s="139" customFormat="1">
      <c r="D78" s="191"/>
      <c r="N78" s="233"/>
      <c r="O78" s="233"/>
      <c r="P78" s="233"/>
      <c r="Q78" s="233"/>
      <c r="R78" s="303"/>
      <c r="S78" s="233"/>
      <c r="T78" s="233"/>
      <c r="U78" s="233"/>
      <c r="V78" s="233"/>
      <c r="W78" s="233"/>
      <c r="X78" s="233"/>
      <c r="Y78" s="233"/>
      <c r="Z78" s="233"/>
      <c r="AA78" s="233"/>
    </row>
    <row r="79" spans="4:27" s="139" customFormat="1">
      <c r="D79" s="191"/>
      <c r="N79" s="233"/>
      <c r="O79" s="233"/>
      <c r="P79" s="233"/>
      <c r="Q79" s="233"/>
      <c r="R79" s="303"/>
      <c r="S79" s="233"/>
      <c r="T79" s="233"/>
      <c r="U79" s="233"/>
      <c r="V79" s="233"/>
      <c r="W79" s="233"/>
      <c r="X79" s="233"/>
      <c r="Y79" s="233"/>
      <c r="Z79" s="233"/>
      <c r="AA79" s="233"/>
    </row>
    <row r="80" spans="4:27" s="139" customFormat="1">
      <c r="D80" s="191"/>
      <c r="N80" s="233"/>
      <c r="O80" s="233"/>
      <c r="P80" s="233"/>
      <c r="Q80" s="233"/>
      <c r="R80" s="303"/>
      <c r="S80" s="233"/>
      <c r="T80" s="233"/>
      <c r="U80" s="233"/>
      <c r="V80" s="233"/>
      <c r="W80" s="233"/>
      <c r="X80" s="233"/>
      <c r="Y80" s="233"/>
      <c r="Z80" s="233"/>
      <c r="AA80" s="233"/>
    </row>
    <row r="81" spans="4:27" s="139" customFormat="1">
      <c r="D81" s="191"/>
      <c r="N81" s="233"/>
      <c r="O81" s="233"/>
      <c r="P81" s="233"/>
      <c r="Q81" s="233"/>
      <c r="R81" s="303"/>
      <c r="S81" s="233"/>
      <c r="T81" s="233"/>
      <c r="U81" s="233"/>
      <c r="V81" s="233"/>
      <c r="W81" s="233"/>
      <c r="X81" s="233"/>
      <c r="Y81" s="233"/>
      <c r="Z81" s="233"/>
      <c r="AA81" s="233"/>
    </row>
    <row r="82" spans="4:27" s="139" customFormat="1">
      <c r="D82" s="191"/>
      <c r="N82" s="233"/>
      <c r="O82" s="233"/>
      <c r="P82" s="233"/>
      <c r="Q82" s="233"/>
      <c r="R82" s="303"/>
      <c r="S82" s="233"/>
      <c r="T82" s="233"/>
      <c r="U82" s="233"/>
      <c r="V82" s="233"/>
      <c r="W82" s="233"/>
      <c r="X82" s="233"/>
      <c r="Y82" s="233"/>
      <c r="Z82" s="233"/>
      <c r="AA82" s="233"/>
    </row>
    <row r="83" spans="4:27" s="139" customFormat="1">
      <c r="D83" s="191"/>
      <c r="N83" s="233"/>
      <c r="O83" s="233"/>
      <c r="P83" s="233"/>
      <c r="Q83" s="233"/>
      <c r="R83" s="303"/>
      <c r="S83" s="233"/>
      <c r="T83" s="233"/>
      <c r="U83" s="233"/>
      <c r="V83" s="233"/>
      <c r="W83" s="233"/>
      <c r="X83" s="233"/>
      <c r="Y83" s="233"/>
      <c r="Z83" s="233"/>
      <c r="AA83" s="233"/>
    </row>
    <row r="84" spans="4:27" s="139" customFormat="1">
      <c r="D84" s="191"/>
      <c r="N84" s="233"/>
      <c r="O84" s="233"/>
      <c r="P84" s="233"/>
      <c r="Q84" s="233"/>
      <c r="R84" s="303"/>
      <c r="S84" s="233"/>
      <c r="T84" s="233"/>
      <c r="U84" s="233"/>
      <c r="V84" s="233"/>
      <c r="W84" s="233"/>
      <c r="X84" s="233"/>
      <c r="Y84" s="233"/>
      <c r="Z84" s="233"/>
      <c r="AA84" s="233"/>
    </row>
    <row r="85" spans="4:27" s="139" customFormat="1">
      <c r="D85" s="191"/>
      <c r="N85" s="233"/>
      <c r="O85" s="233"/>
      <c r="P85" s="233"/>
      <c r="Q85" s="233"/>
      <c r="R85" s="303"/>
      <c r="S85" s="233"/>
      <c r="T85" s="233"/>
      <c r="U85" s="233"/>
      <c r="V85" s="233"/>
      <c r="W85" s="233"/>
      <c r="X85" s="233"/>
      <c r="Y85" s="233"/>
      <c r="Z85" s="233"/>
      <c r="AA85" s="233"/>
    </row>
    <row r="86" spans="4:27" s="139" customFormat="1">
      <c r="D86" s="191"/>
      <c r="N86" s="233"/>
      <c r="O86" s="233"/>
      <c r="P86" s="233"/>
      <c r="Q86" s="233"/>
      <c r="R86" s="303"/>
      <c r="S86" s="233"/>
      <c r="T86" s="233"/>
      <c r="U86" s="233"/>
      <c r="V86" s="233"/>
      <c r="W86" s="233"/>
      <c r="X86" s="233"/>
      <c r="Y86" s="233"/>
      <c r="Z86" s="233"/>
      <c r="AA86" s="233"/>
    </row>
    <row r="87" spans="4:27" s="139" customFormat="1">
      <c r="D87" s="191"/>
      <c r="N87" s="233"/>
      <c r="O87" s="233"/>
      <c r="P87" s="233"/>
      <c r="Q87" s="233"/>
      <c r="R87" s="303"/>
      <c r="S87" s="233"/>
      <c r="T87" s="233"/>
      <c r="U87" s="233"/>
      <c r="V87" s="233"/>
      <c r="W87" s="233"/>
      <c r="X87" s="233"/>
      <c r="Y87" s="233"/>
      <c r="Z87" s="233"/>
      <c r="AA87" s="233"/>
    </row>
    <row r="88" spans="4:27" s="139" customFormat="1">
      <c r="D88" s="191"/>
      <c r="N88" s="233"/>
      <c r="O88" s="233"/>
      <c r="P88" s="233"/>
      <c r="Q88" s="233"/>
      <c r="R88" s="303"/>
      <c r="S88" s="233"/>
      <c r="T88" s="233"/>
      <c r="U88" s="233"/>
      <c r="V88" s="233"/>
      <c r="W88" s="233"/>
      <c r="X88" s="233"/>
      <c r="Y88" s="233"/>
      <c r="Z88" s="233"/>
      <c r="AA88" s="233"/>
    </row>
    <row r="89" spans="4:27" s="139" customFormat="1">
      <c r="D89" s="191"/>
      <c r="N89" s="233"/>
      <c r="O89" s="233"/>
      <c r="P89" s="233"/>
      <c r="Q89" s="233"/>
      <c r="R89" s="303"/>
      <c r="S89" s="233"/>
      <c r="T89" s="233"/>
      <c r="U89" s="233"/>
      <c r="V89" s="233"/>
      <c r="W89" s="233"/>
      <c r="X89" s="233"/>
      <c r="Y89" s="233"/>
      <c r="Z89" s="233"/>
      <c r="AA89" s="233"/>
    </row>
    <row r="90" spans="4:27" s="139" customFormat="1">
      <c r="D90" s="191"/>
      <c r="N90" s="233"/>
      <c r="O90" s="233"/>
      <c r="P90" s="233"/>
      <c r="Q90" s="233"/>
      <c r="R90" s="303"/>
      <c r="S90" s="233"/>
      <c r="T90" s="233"/>
      <c r="U90" s="233"/>
      <c r="V90" s="233"/>
      <c r="W90" s="233"/>
      <c r="X90" s="233"/>
      <c r="Y90" s="233"/>
      <c r="Z90" s="233"/>
      <c r="AA90" s="233"/>
    </row>
    <row r="91" spans="4:27" s="139" customFormat="1">
      <c r="D91" s="191"/>
      <c r="N91" s="233"/>
      <c r="O91" s="233"/>
      <c r="P91" s="233"/>
      <c r="Q91" s="233"/>
      <c r="R91" s="303"/>
      <c r="S91" s="233"/>
      <c r="T91" s="233"/>
      <c r="U91" s="233"/>
      <c r="V91" s="233"/>
      <c r="W91" s="233"/>
      <c r="X91" s="233"/>
      <c r="Y91" s="233"/>
      <c r="Z91" s="233"/>
      <c r="AA91" s="233"/>
    </row>
    <row r="92" spans="4:27" s="139" customFormat="1">
      <c r="D92" s="191"/>
      <c r="N92" s="233"/>
      <c r="O92" s="233"/>
      <c r="P92" s="233"/>
      <c r="Q92" s="233"/>
      <c r="R92" s="303"/>
      <c r="S92" s="233"/>
      <c r="T92" s="233"/>
      <c r="U92" s="233"/>
      <c r="V92" s="233"/>
      <c r="W92" s="233"/>
      <c r="X92" s="233"/>
      <c r="Y92" s="233"/>
      <c r="Z92" s="233"/>
      <c r="AA92" s="233"/>
    </row>
    <row r="93" spans="4:27" s="139" customFormat="1">
      <c r="D93" s="191"/>
      <c r="N93" s="233"/>
      <c r="O93" s="233"/>
      <c r="P93" s="233"/>
      <c r="Q93" s="233"/>
      <c r="R93" s="303"/>
      <c r="S93" s="233"/>
      <c r="T93" s="233"/>
      <c r="U93" s="233"/>
      <c r="V93" s="233"/>
      <c r="W93" s="233"/>
      <c r="X93" s="233"/>
      <c r="Y93" s="233"/>
      <c r="Z93" s="233"/>
      <c r="AA93" s="233"/>
    </row>
    <row r="94" spans="4:27" s="139" customFormat="1">
      <c r="D94" s="191"/>
      <c r="N94" s="233"/>
      <c r="O94" s="233"/>
      <c r="P94" s="233"/>
      <c r="Q94" s="233"/>
      <c r="R94" s="303"/>
      <c r="S94" s="233"/>
      <c r="T94" s="233"/>
      <c r="U94" s="233"/>
      <c r="V94" s="233"/>
      <c r="W94" s="233"/>
      <c r="X94" s="233"/>
      <c r="Y94" s="233"/>
      <c r="Z94" s="233"/>
      <c r="AA94" s="233"/>
    </row>
    <row r="95" spans="4:27" s="139" customFormat="1">
      <c r="D95" s="191"/>
      <c r="N95" s="233"/>
      <c r="O95" s="233"/>
      <c r="P95" s="233"/>
      <c r="Q95" s="233"/>
      <c r="R95" s="303"/>
      <c r="S95" s="233"/>
      <c r="T95" s="233"/>
      <c r="U95" s="233"/>
      <c r="V95" s="233"/>
      <c r="W95" s="233"/>
      <c r="X95" s="233"/>
      <c r="Y95" s="233"/>
      <c r="Z95" s="233"/>
      <c r="AA95" s="233"/>
    </row>
    <row r="96" spans="4:27" s="139" customFormat="1">
      <c r="D96" s="191"/>
      <c r="N96" s="233"/>
      <c r="O96" s="233"/>
      <c r="P96" s="233"/>
      <c r="Q96" s="233"/>
      <c r="R96" s="303"/>
      <c r="S96" s="233"/>
      <c r="T96" s="233"/>
      <c r="U96" s="233"/>
      <c r="V96" s="233"/>
      <c r="W96" s="233"/>
      <c r="X96" s="233"/>
      <c r="Y96" s="233"/>
      <c r="Z96" s="233"/>
      <c r="AA96" s="233"/>
    </row>
    <row r="97" spans="4:27" s="139" customFormat="1">
      <c r="D97" s="191"/>
      <c r="N97" s="233"/>
      <c r="O97" s="233"/>
      <c r="P97" s="233"/>
      <c r="Q97" s="233"/>
      <c r="R97" s="303"/>
      <c r="S97" s="233"/>
      <c r="T97" s="233"/>
      <c r="U97" s="233"/>
      <c r="V97" s="233"/>
      <c r="W97" s="233"/>
      <c r="X97" s="233"/>
      <c r="Y97" s="233"/>
      <c r="Z97" s="233"/>
      <c r="AA97" s="233"/>
    </row>
    <row r="98" spans="4:27" s="139" customFormat="1">
      <c r="D98" s="191"/>
      <c r="N98" s="233"/>
      <c r="O98" s="233"/>
      <c r="P98" s="233"/>
      <c r="Q98" s="233"/>
      <c r="R98" s="303"/>
      <c r="S98" s="233"/>
      <c r="T98" s="233"/>
      <c r="U98" s="233"/>
      <c r="V98" s="233"/>
      <c r="W98" s="233"/>
      <c r="X98" s="233"/>
      <c r="Y98" s="233"/>
      <c r="Z98" s="233"/>
      <c r="AA98" s="233"/>
    </row>
    <row r="99" spans="4:27" s="139" customFormat="1">
      <c r="D99" s="191"/>
      <c r="N99" s="233"/>
      <c r="O99" s="233"/>
      <c r="P99" s="233"/>
      <c r="Q99" s="233"/>
      <c r="R99" s="303"/>
      <c r="S99" s="233"/>
      <c r="T99" s="233"/>
      <c r="U99" s="233"/>
      <c r="V99" s="233"/>
      <c r="W99" s="233"/>
      <c r="X99" s="233"/>
      <c r="Y99" s="233"/>
      <c r="Z99" s="233"/>
      <c r="AA99" s="233"/>
    </row>
    <row r="100" spans="4:27" s="139" customFormat="1">
      <c r="D100" s="191"/>
      <c r="N100" s="233"/>
      <c r="O100" s="233"/>
      <c r="P100" s="233"/>
      <c r="Q100" s="233"/>
      <c r="R100" s="303"/>
      <c r="S100" s="233"/>
      <c r="T100" s="233"/>
      <c r="U100" s="233"/>
      <c r="V100" s="233"/>
      <c r="W100" s="233"/>
      <c r="X100" s="233"/>
      <c r="Y100" s="233"/>
      <c r="Z100" s="233"/>
      <c r="AA100" s="233"/>
    </row>
    <row r="101" spans="4:27" s="139" customFormat="1">
      <c r="D101" s="191"/>
      <c r="N101" s="233"/>
      <c r="O101" s="233"/>
      <c r="P101" s="233"/>
      <c r="Q101" s="233"/>
      <c r="R101" s="303"/>
      <c r="S101" s="233"/>
      <c r="T101" s="233"/>
      <c r="U101" s="233"/>
      <c r="V101" s="233"/>
      <c r="W101" s="233"/>
      <c r="X101" s="233"/>
      <c r="Y101" s="233"/>
      <c r="Z101" s="233"/>
      <c r="AA101" s="233"/>
    </row>
    <row r="102" spans="4:27" s="139" customFormat="1">
      <c r="D102" s="191"/>
      <c r="N102" s="233"/>
      <c r="O102" s="233"/>
      <c r="P102" s="233"/>
      <c r="Q102" s="233"/>
      <c r="R102" s="303"/>
      <c r="S102" s="233"/>
      <c r="T102" s="233"/>
      <c r="U102" s="233"/>
      <c r="V102" s="233"/>
      <c r="W102" s="233"/>
      <c r="X102" s="233"/>
      <c r="Y102" s="233"/>
      <c r="Z102" s="233"/>
      <c r="AA102" s="233"/>
    </row>
    <row r="103" spans="4:27" s="139" customFormat="1">
      <c r="D103" s="191"/>
      <c r="N103" s="233"/>
      <c r="O103" s="233"/>
      <c r="P103" s="233"/>
      <c r="Q103" s="233"/>
      <c r="R103" s="303"/>
      <c r="S103" s="233"/>
      <c r="T103" s="233"/>
      <c r="U103" s="233"/>
      <c r="V103" s="233"/>
      <c r="W103" s="233"/>
      <c r="X103" s="233"/>
      <c r="Y103" s="233"/>
      <c r="Z103" s="233"/>
      <c r="AA103" s="233"/>
    </row>
    <row r="104" spans="4:27" s="139" customFormat="1">
      <c r="D104" s="191"/>
      <c r="N104" s="233"/>
      <c r="O104" s="233"/>
      <c r="P104" s="233"/>
      <c r="Q104" s="233"/>
      <c r="R104" s="303"/>
      <c r="S104" s="233"/>
      <c r="T104" s="233"/>
      <c r="U104" s="233"/>
      <c r="V104" s="233"/>
      <c r="W104" s="233"/>
      <c r="X104" s="233"/>
      <c r="Y104" s="233"/>
      <c r="Z104" s="233"/>
      <c r="AA104" s="233"/>
    </row>
    <row r="105" spans="4:27" s="139" customFormat="1">
      <c r="D105" s="191"/>
      <c r="N105" s="233"/>
      <c r="O105" s="233"/>
      <c r="P105" s="233"/>
      <c r="Q105" s="233"/>
      <c r="R105" s="303"/>
      <c r="S105" s="233"/>
      <c r="T105" s="233"/>
      <c r="U105" s="233"/>
      <c r="V105" s="233"/>
      <c r="W105" s="233"/>
      <c r="X105" s="233"/>
      <c r="Y105" s="233"/>
      <c r="Z105" s="233"/>
      <c r="AA105" s="233"/>
    </row>
    <row r="106" spans="4:27" s="139" customFormat="1">
      <c r="D106" s="191"/>
      <c r="N106" s="233"/>
      <c r="O106" s="233"/>
      <c r="P106" s="233"/>
      <c r="Q106" s="233"/>
      <c r="R106" s="303"/>
      <c r="S106" s="233"/>
      <c r="T106" s="233"/>
      <c r="U106" s="233"/>
      <c r="V106" s="233"/>
      <c r="W106" s="233"/>
      <c r="X106" s="233"/>
      <c r="Y106" s="233"/>
      <c r="Z106" s="233"/>
      <c r="AA106" s="233"/>
    </row>
    <row r="107" spans="4:27" s="139" customFormat="1">
      <c r="D107" s="191"/>
      <c r="N107" s="233"/>
      <c r="O107" s="233"/>
      <c r="P107" s="233"/>
      <c r="Q107" s="233"/>
      <c r="R107" s="303"/>
      <c r="S107" s="233"/>
      <c r="T107" s="233"/>
      <c r="U107" s="233"/>
      <c r="V107" s="233"/>
      <c r="W107" s="233"/>
      <c r="X107" s="233"/>
      <c r="Y107" s="233"/>
      <c r="Z107" s="233"/>
      <c r="AA107" s="233"/>
    </row>
    <row r="108" spans="4:27" s="139" customFormat="1">
      <c r="D108" s="191"/>
      <c r="N108" s="233"/>
      <c r="O108" s="233"/>
      <c r="P108" s="233"/>
      <c r="Q108" s="233"/>
      <c r="R108" s="303"/>
      <c r="S108" s="233"/>
      <c r="T108" s="233"/>
      <c r="U108" s="233"/>
      <c r="V108" s="233"/>
      <c r="W108" s="233"/>
      <c r="X108" s="233"/>
      <c r="Y108" s="233"/>
      <c r="Z108" s="233"/>
      <c r="AA108" s="233"/>
    </row>
    <row r="109" spans="4:27" s="139" customFormat="1">
      <c r="D109" s="191"/>
      <c r="N109" s="233"/>
      <c r="O109" s="233"/>
      <c r="P109" s="233"/>
      <c r="Q109" s="233"/>
      <c r="R109" s="303"/>
      <c r="S109" s="233"/>
      <c r="T109" s="233"/>
      <c r="U109" s="233"/>
      <c r="V109" s="233"/>
      <c r="W109" s="233"/>
      <c r="X109" s="233"/>
      <c r="Y109" s="233"/>
      <c r="Z109" s="233"/>
      <c r="AA109" s="233"/>
    </row>
    <row r="110" spans="4:27" s="139" customFormat="1">
      <c r="D110" s="191"/>
      <c r="N110" s="233"/>
      <c r="O110" s="233"/>
      <c r="P110" s="233"/>
      <c r="Q110" s="233"/>
      <c r="R110" s="303"/>
      <c r="S110" s="233"/>
      <c r="T110" s="233"/>
      <c r="U110" s="233"/>
      <c r="V110" s="233"/>
      <c r="W110" s="233"/>
      <c r="X110" s="233"/>
      <c r="Y110" s="233"/>
      <c r="Z110" s="233"/>
      <c r="AA110" s="233"/>
    </row>
    <row r="111" spans="4:27" s="139" customFormat="1">
      <c r="D111" s="191"/>
      <c r="N111" s="233"/>
      <c r="O111" s="233"/>
      <c r="P111" s="233"/>
      <c r="Q111" s="233"/>
      <c r="R111" s="303"/>
      <c r="S111" s="233"/>
      <c r="T111" s="233"/>
      <c r="U111" s="233"/>
      <c r="V111" s="233"/>
      <c r="W111" s="233"/>
      <c r="X111" s="233"/>
      <c r="Y111" s="233"/>
      <c r="Z111" s="233"/>
      <c r="AA111" s="233"/>
    </row>
    <row r="112" spans="4:27" s="139" customFormat="1">
      <c r="D112" s="191"/>
      <c r="N112" s="233"/>
      <c r="O112" s="233"/>
      <c r="P112" s="233"/>
      <c r="Q112" s="233"/>
      <c r="R112" s="303"/>
      <c r="S112" s="233"/>
      <c r="T112" s="233"/>
      <c r="U112" s="233"/>
      <c r="V112" s="233"/>
      <c r="W112" s="233"/>
      <c r="X112" s="233"/>
      <c r="Y112" s="233"/>
      <c r="Z112" s="233"/>
      <c r="AA112" s="233"/>
    </row>
    <row r="113" spans="4:27" s="139" customFormat="1">
      <c r="D113" s="191"/>
      <c r="N113" s="233"/>
      <c r="O113" s="233"/>
      <c r="P113" s="233"/>
      <c r="Q113" s="233"/>
      <c r="R113" s="303"/>
      <c r="S113" s="233"/>
      <c r="T113" s="233"/>
      <c r="U113" s="233"/>
      <c r="V113" s="233"/>
      <c r="W113" s="233"/>
      <c r="X113" s="233"/>
      <c r="Y113" s="233"/>
      <c r="Z113" s="233"/>
      <c r="AA113" s="233"/>
    </row>
    <row r="114" spans="4:27" s="139" customFormat="1">
      <c r="D114" s="191"/>
      <c r="N114" s="233"/>
      <c r="O114" s="233"/>
      <c r="P114" s="233"/>
      <c r="Q114" s="233"/>
      <c r="R114" s="303"/>
      <c r="S114" s="233"/>
      <c r="T114" s="233"/>
      <c r="U114" s="233"/>
      <c r="V114" s="233"/>
      <c r="W114" s="233"/>
      <c r="X114" s="233"/>
      <c r="Y114" s="233"/>
      <c r="Z114" s="233"/>
      <c r="AA114" s="233"/>
    </row>
    <row r="115" spans="4:27" s="139" customFormat="1">
      <c r="D115" s="191"/>
      <c r="N115" s="233"/>
      <c r="O115" s="233"/>
      <c r="P115" s="233"/>
      <c r="Q115" s="233"/>
      <c r="R115" s="303"/>
      <c r="S115" s="233"/>
      <c r="T115" s="233"/>
      <c r="U115" s="233"/>
      <c r="V115" s="233"/>
      <c r="W115" s="233"/>
      <c r="X115" s="233"/>
      <c r="Y115" s="233"/>
      <c r="Z115" s="233"/>
      <c r="AA115" s="233"/>
    </row>
    <row r="116" spans="4:27" s="139" customFormat="1">
      <c r="D116" s="191"/>
      <c r="N116" s="233"/>
      <c r="O116" s="233"/>
      <c r="P116" s="233"/>
      <c r="Q116" s="233"/>
      <c r="R116" s="303"/>
      <c r="S116" s="233"/>
      <c r="T116" s="233"/>
      <c r="U116" s="233"/>
      <c r="V116" s="233"/>
      <c r="W116" s="233"/>
      <c r="X116" s="233"/>
      <c r="Y116" s="233"/>
      <c r="Z116" s="233"/>
      <c r="AA116" s="233"/>
    </row>
    <row r="117" spans="4:27" s="139" customFormat="1">
      <c r="D117" s="191"/>
      <c r="N117" s="233"/>
      <c r="O117" s="233"/>
      <c r="P117" s="233"/>
      <c r="Q117" s="233"/>
      <c r="R117" s="303"/>
      <c r="S117" s="233"/>
      <c r="T117" s="233"/>
      <c r="U117" s="233"/>
      <c r="V117" s="233"/>
      <c r="W117" s="233"/>
      <c r="X117" s="233"/>
      <c r="Y117" s="233"/>
      <c r="Z117" s="233"/>
      <c r="AA117" s="233"/>
    </row>
    <row r="118" spans="4:27" s="139" customFormat="1">
      <c r="D118" s="191"/>
      <c r="N118" s="233"/>
      <c r="O118" s="233"/>
      <c r="P118" s="233"/>
      <c r="Q118" s="233"/>
      <c r="R118" s="303"/>
      <c r="S118" s="233"/>
      <c r="T118" s="233"/>
      <c r="U118" s="233"/>
      <c r="V118" s="233"/>
      <c r="W118" s="233"/>
      <c r="X118" s="233"/>
      <c r="Y118" s="233"/>
      <c r="Z118" s="233"/>
      <c r="AA118" s="233"/>
    </row>
    <row r="119" spans="4:27" s="139" customFormat="1">
      <c r="D119" s="191"/>
      <c r="N119" s="233"/>
      <c r="O119" s="233"/>
      <c r="P119" s="233"/>
      <c r="Q119" s="233"/>
      <c r="R119" s="303"/>
      <c r="S119" s="233"/>
      <c r="T119" s="233"/>
      <c r="U119" s="233"/>
      <c r="V119" s="233"/>
      <c r="W119" s="233"/>
      <c r="X119" s="233"/>
      <c r="Y119" s="233"/>
      <c r="Z119" s="233"/>
      <c r="AA119" s="233"/>
    </row>
    <row r="120" spans="4:27" s="139" customFormat="1">
      <c r="D120" s="191"/>
      <c r="N120" s="233"/>
      <c r="O120" s="233"/>
      <c r="P120" s="233"/>
      <c r="Q120" s="233"/>
      <c r="R120" s="303"/>
      <c r="S120" s="233"/>
      <c r="T120" s="233"/>
      <c r="U120" s="233"/>
      <c r="V120" s="233"/>
      <c r="W120" s="233"/>
      <c r="X120" s="233"/>
      <c r="Y120" s="233"/>
      <c r="Z120" s="233"/>
      <c r="AA120" s="233"/>
    </row>
    <row r="121" spans="4:27" s="139" customFormat="1">
      <c r="D121" s="191"/>
      <c r="N121" s="233"/>
      <c r="O121" s="233"/>
      <c r="P121" s="233"/>
      <c r="Q121" s="233"/>
      <c r="R121" s="303"/>
      <c r="S121" s="233"/>
      <c r="T121" s="233"/>
      <c r="U121" s="233"/>
      <c r="V121" s="233"/>
      <c r="W121" s="233"/>
      <c r="X121" s="233"/>
      <c r="Y121" s="233"/>
      <c r="Z121" s="233"/>
      <c r="AA121" s="233"/>
    </row>
    <row r="122" spans="4:27" s="139" customFormat="1">
      <c r="D122" s="191"/>
      <c r="N122" s="233"/>
      <c r="O122" s="233"/>
      <c r="P122" s="233"/>
      <c r="Q122" s="233"/>
      <c r="R122" s="303"/>
      <c r="S122" s="233"/>
      <c r="T122" s="233"/>
      <c r="U122" s="233"/>
      <c r="V122" s="233"/>
      <c r="W122" s="233"/>
      <c r="X122" s="233"/>
      <c r="Y122" s="233"/>
      <c r="Z122" s="233"/>
      <c r="AA122" s="233"/>
    </row>
    <row r="123" spans="4:27" s="139" customFormat="1">
      <c r="D123" s="191"/>
      <c r="N123" s="233"/>
      <c r="O123" s="233"/>
      <c r="P123" s="233"/>
      <c r="Q123" s="233"/>
      <c r="R123" s="303"/>
      <c r="S123" s="233"/>
      <c r="T123" s="233"/>
      <c r="U123" s="233"/>
      <c r="V123" s="233"/>
      <c r="W123" s="233"/>
      <c r="X123" s="233"/>
      <c r="Y123" s="233"/>
      <c r="Z123" s="233"/>
      <c r="AA123" s="233"/>
    </row>
    <row r="124" spans="4:27" s="139" customFormat="1">
      <c r="D124" s="191"/>
      <c r="N124" s="233"/>
      <c r="O124" s="233"/>
      <c r="P124" s="233"/>
      <c r="Q124" s="233"/>
      <c r="R124" s="303"/>
      <c r="S124" s="233"/>
      <c r="T124" s="233"/>
      <c r="U124" s="233"/>
      <c r="V124" s="233"/>
      <c r="W124" s="233"/>
      <c r="X124" s="233"/>
      <c r="Y124" s="233"/>
      <c r="Z124" s="233"/>
      <c r="AA124" s="233"/>
    </row>
    <row r="125" spans="4:27" s="139" customFormat="1">
      <c r="D125" s="191"/>
      <c r="N125" s="233"/>
      <c r="O125" s="233"/>
      <c r="P125" s="233"/>
      <c r="Q125" s="233"/>
      <c r="R125" s="303"/>
      <c r="S125" s="233"/>
      <c r="T125" s="233"/>
      <c r="U125" s="233"/>
      <c r="V125" s="233"/>
      <c r="W125" s="233"/>
      <c r="X125" s="233"/>
      <c r="Y125" s="233"/>
      <c r="Z125" s="233"/>
      <c r="AA125" s="233"/>
    </row>
    <row r="126" spans="4:27" s="139" customFormat="1">
      <c r="D126" s="191"/>
      <c r="N126" s="233"/>
      <c r="O126" s="233"/>
      <c r="P126" s="233"/>
      <c r="Q126" s="233"/>
      <c r="R126" s="303"/>
      <c r="S126" s="233"/>
      <c r="T126" s="233"/>
      <c r="U126" s="233"/>
      <c r="V126" s="233"/>
      <c r="W126" s="233"/>
      <c r="X126" s="233"/>
      <c r="Y126" s="233"/>
      <c r="Z126" s="233"/>
      <c r="AA126" s="233"/>
    </row>
    <row r="127" spans="4:27" s="139" customFormat="1">
      <c r="D127" s="191"/>
      <c r="N127" s="233"/>
      <c r="O127" s="233"/>
      <c r="P127" s="233"/>
      <c r="Q127" s="233"/>
      <c r="R127" s="303"/>
      <c r="S127" s="233"/>
      <c r="T127" s="233"/>
      <c r="U127" s="233"/>
      <c r="V127" s="233"/>
      <c r="W127" s="233"/>
      <c r="X127" s="233"/>
      <c r="Y127" s="233"/>
      <c r="Z127" s="233"/>
      <c r="AA127" s="233"/>
    </row>
    <row r="128" spans="4:27" s="139" customFormat="1">
      <c r="D128" s="191"/>
      <c r="N128" s="233"/>
      <c r="O128" s="233"/>
      <c r="P128" s="233"/>
      <c r="Q128" s="233"/>
      <c r="R128" s="303"/>
      <c r="S128" s="233"/>
      <c r="T128" s="233"/>
      <c r="U128" s="233"/>
      <c r="V128" s="233"/>
      <c r="W128" s="233"/>
      <c r="X128" s="233"/>
      <c r="Y128" s="233"/>
      <c r="Z128" s="233"/>
      <c r="AA128" s="233"/>
    </row>
    <row r="129" spans="4:27" s="139" customFormat="1">
      <c r="D129" s="191"/>
      <c r="N129" s="233"/>
      <c r="O129" s="233"/>
      <c r="P129" s="233"/>
      <c r="Q129" s="233"/>
      <c r="R129" s="303"/>
      <c r="S129" s="233"/>
      <c r="T129" s="233"/>
      <c r="U129" s="233"/>
      <c r="V129" s="233"/>
      <c r="W129" s="233"/>
      <c r="X129" s="233"/>
      <c r="Y129" s="233"/>
      <c r="Z129" s="233"/>
      <c r="AA129" s="233"/>
    </row>
    <row r="130" spans="4:27" s="139" customFormat="1">
      <c r="D130" s="191"/>
      <c r="N130" s="233"/>
      <c r="O130" s="233"/>
      <c r="P130" s="233"/>
      <c r="Q130" s="233"/>
      <c r="R130" s="303"/>
      <c r="S130" s="233"/>
      <c r="T130" s="233"/>
      <c r="U130" s="233"/>
      <c r="V130" s="233"/>
      <c r="W130" s="233"/>
      <c r="X130" s="233"/>
      <c r="Y130" s="233"/>
      <c r="Z130" s="233"/>
      <c r="AA130" s="233"/>
    </row>
    <row r="131" spans="4:27" s="139" customFormat="1">
      <c r="D131" s="191"/>
      <c r="N131" s="233"/>
      <c r="O131" s="233"/>
      <c r="P131" s="233"/>
      <c r="Q131" s="233"/>
      <c r="R131" s="303"/>
      <c r="S131" s="233"/>
      <c r="T131" s="233"/>
      <c r="U131" s="233"/>
      <c r="V131" s="233"/>
      <c r="W131" s="233"/>
      <c r="X131" s="233"/>
      <c r="Y131" s="233"/>
      <c r="Z131" s="233"/>
      <c r="AA131" s="233"/>
    </row>
    <row r="132" spans="4:27" s="139" customFormat="1">
      <c r="D132" s="191"/>
      <c r="N132" s="233"/>
      <c r="O132" s="233"/>
      <c r="P132" s="233"/>
      <c r="Q132" s="233"/>
      <c r="R132" s="303"/>
      <c r="S132" s="233"/>
      <c r="T132" s="233"/>
      <c r="U132" s="233"/>
      <c r="V132" s="233"/>
      <c r="W132" s="233"/>
      <c r="X132" s="233"/>
      <c r="Y132" s="233"/>
      <c r="Z132" s="233"/>
      <c r="AA132" s="233"/>
    </row>
    <row r="133" spans="4:27" s="139" customFormat="1">
      <c r="D133" s="191"/>
      <c r="N133" s="233"/>
      <c r="O133" s="233"/>
      <c r="P133" s="233"/>
      <c r="Q133" s="233"/>
      <c r="R133" s="303"/>
      <c r="S133" s="233"/>
      <c r="T133" s="233"/>
      <c r="U133" s="233"/>
      <c r="V133" s="233"/>
      <c r="W133" s="233"/>
      <c r="X133" s="233"/>
      <c r="Y133" s="233"/>
      <c r="Z133" s="233"/>
      <c r="AA133" s="233"/>
    </row>
    <row r="134" spans="4:27" s="139" customFormat="1">
      <c r="D134" s="191"/>
      <c r="N134" s="233"/>
      <c r="O134" s="233"/>
      <c r="P134" s="233"/>
      <c r="Q134" s="233"/>
      <c r="R134" s="303"/>
      <c r="S134" s="233"/>
      <c r="T134" s="233"/>
      <c r="U134" s="233"/>
      <c r="V134" s="233"/>
      <c r="W134" s="233"/>
      <c r="X134" s="233"/>
      <c r="Y134" s="233"/>
      <c r="Z134" s="233"/>
      <c r="AA134" s="233"/>
    </row>
    <row r="135" spans="4:27" s="139" customFormat="1">
      <c r="D135" s="191"/>
      <c r="N135" s="233"/>
      <c r="O135" s="233"/>
      <c r="P135" s="233"/>
      <c r="Q135" s="233"/>
      <c r="R135" s="303"/>
      <c r="S135" s="233"/>
      <c r="T135" s="233"/>
      <c r="U135" s="233"/>
      <c r="V135" s="233"/>
      <c r="W135" s="233"/>
      <c r="X135" s="233"/>
      <c r="Y135" s="233"/>
      <c r="Z135" s="233"/>
      <c r="AA135" s="233"/>
    </row>
    <row r="136" spans="4:27" s="139" customFormat="1">
      <c r="D136" s="191"/>
      <c r="N136" s="233"/>
      <c r="O136" s="233"/>
      <c r="P136" s="233"/>
      <c r="Q136" s="233"/>
      <c r="R136" s="303"/>
      <c r="S136" s="233"/>
      <c r="T136" s="233"/>
      <c r="U136" s="233"/>
      <c r="V136" s="233"/>
      <c r="W136" s="233"/>
      <c r="X136" s="233"/>
      <c r="Y136" s="233"/>
      <c r="Z136" s="233"/>
      <c r="AA136" s="233"/>
    </row>
    <row r="137" spans="4:27" s="139" customFormat="1">
      <c r="D137" s="191"/>
      <c r="N137" s="233"/>
      <c r="O137" s="233"/>
      <c r="P137" s="233"/>
      <c r="Q137" s="233"/>
      <c r="R137" s="303"/>
      <c r="S137" s="233"/>
      <c r="T137" s="233"/>
      <c r="U137" s="233"/>
      <c r="V137" s="233"/>
      <c r="W137" s="233"/>
      <c r="X137" s="233"/>
      <c r="Y137" s="233"/>
      <c r="Z137" s="233"/>
      <c r="AA137" s="233"/>
    </row>
    <row r="138" spans="4:27" s="139" customFormat="1">
      <c r="D138" s="191"/>
      <c r="N138" s="233"/>
      <c r="O138" s="233"/>
      <c r="P138" s="233"/>
      <c r="Q138" s="233"/>
      <c r="R138" s="303"/>
      <c r="S138" s="233"/>
      <c r="T138" s="233"/>
      <c r="U138" s="233"/>
      <c r="V138" s="233"/>
      <c r="W138" s="233"/>
      <c r="X138" s="233"/>
      <c r="Y138" s="233"/>
      <c r="Z138" s="233"/>
      <c r="AA138" s="233"/>
    </row>
    <row r="139" spans="4:27" s="139" customFormat="1">
      <c r="D139" s="191"/>
      <c r="N139" s="233"/>
      <c r="O139" s="233"/>
      <c r="P139" s="233"/>
      <c r="Q139" s="233"/>
      <c r="R139" s="303"/>
      <c r="S139" s="233"/>
      <c r="T139" s="233"/>
      <c r="U139" s="233"/>
      <c r="V139" s="233"/>
      <c r="W139" s="233"/>
      <c r="X139" s="233"/>
      <c r="Y139" s="233"/>
      <c r="Z139" s="233"/>
      <c r="AA139" s="233"/>
    </row>
    <row r="140" spans="4:27" s="139" customFormat="1">
      <c r="D140" s="191"/>
      <c r="N140" s="233"/>
      <c r="O140" s="233"/>
      <c r="P140" s="233"/>
      <c r="Q140" s="233"/>
      <c r="R140" s="303"/>
      <c r="S140" s="233"/>
      <c r="T140" s="233"/>
      <c r="U140" s="233"/>
      <c r="V140" s="233"/>
      <c r="W140" s="233"/>
      <c r="X140" s="233"/>
      <c r="Y140" s="233"/>
      <c r="Z140" s="233"/>
      <c r="AA140" s="233"/>
    </row>
    <row r="141" spans="4:27" s="139" customFormat="1">
      <c r="D141" s="191"/>
      <c r="N141" s="233"/>
      <c r="O141" s="233"/>
      <c r="P141" s="233"/>
      <c r="Q141" s="233"/>
      <c r="R141" s="303"/>
      <c r="S141" s="233"/>
      <c r="T141" s="233"/>
      <c r="U141" s="233"/>
      <c r="V141" s="233"/>
      <c r="W141" s="233"/>
      <c r="X141" s="233"/>
      <c r="Y141" s="233"/>
      <c r="Z141" s="233"/>
      <c r="AA141" s="233"/>
    </row>
    <row r="142" spans="4:27" s="139" customFormat="1">
      <c r="D142" s="191"/>
      <c r="N142" s="233"/>
      <c r="O142" s="233"/>
      <c r="P142" s="233"/>
      <c r="Q142" s="233"/>
      <c r="R142" s="303"/>
      <c r="S142" s="233"/>
      <c r="T142" s="233"/>
      <c r="U142" s="233"/>
      <c r="V142" s="233"/>
      <c r="W142" s="233"/>
      <c r="X142" s="233"/>
      <c r="Y142" s="233"/>
      <c r="Z142" s="233"/>
      <c r="AA142" s="233"/>
    </row>
    <row r="143" spans="4:27" s="139" customFormat="1">
      <c r="D143" s="191"/>
      <c r="N143" s="233"/>
      <c r="O143" s="233"/>
      <c r="P143" s="233"/>
      <c r="Q143" s="233"/>
      <c r="R143" s="303"/>
      <c r="S143" s="233"/>
      <c r="T143" s="233"/>
      <c r="U143" s="233"/>
      <c r="V143" s="233"/>
      <c r="W143" s="233"/>
      <c r="X143" s="233"/>
      <c r="Y143" s="233"/>
      <c r="Z143" s="233"/>
      <c r="AA143" s="233"/>
    </row>
    <row r="144" spans="4:27" s="139" customFormat="1">
      <c r="D144" s="191"/>
      <c r="N144" s="233"/>
      <c r="O144" s="233"/>
      <c r="P144" s="233"/>
      <c r="Q144" s="233"/>
      <c r="R144" s="303"/>
      <c r="S144" s="233"/>
      <c r="T144" s="233"/>
      <c r="U144" s="233"/>
      <c r="V144" s="233"/>
      <c r="W144" s="233"/>
      <c r="X144" s="233"/>
      <c r="Y144" s="233"/>
      <c r="Z144" s="233"/>
      <c r="AA144" s="233"/>
    </row>
    <row r="145" spans="4:27" s="139" customFormat="1">
      <c r="D145" s="191"/>
      <c r="N145" s="233"/>
      <c r="O145" s="233"/>
      <c r="P145" s="233"/>
      <c r="Q145" s="233"/>
      <c r="R145" s="303"/>
      <c r="S145" s="233"/>
      <c r="T145" s="233"/>
      <c r="U145" s="233"/>
      <c r="V145" s="233"/>
      <c r="W145" s="233"/>
      <c r="X145" s="233"/>
      <c r="Y145" s="233"/>
      <c r="Z145" s="233"/>
      <c r="AA145" s="233"/>
    </row>
    <row r="146" spans="4:27" s="139" customFormat="1">
      <c r="D146" s="191"/>
      <c r="N146" s="233"/>
      <c r="O146" s="233"/>
      <c r="P146" s="233"/>
      <c r="Q146" s="233"/>
      <c r="R146" s="303"/>
      <c r="S146" s="233"/>
      <c r="T146" s="233"/>
      <c r="U146" s="233"/>
      <c r="V146" s="233"/>
      <c r="W146" s="233"/>
      <c r="X146" s="233"/>
      <c r="Y146" s="233"/>
      <c r="Z146" s="233"/>
      <c r="AA146" s="233"/>
    </row>
    <row r="147" spans="4:27" s="139" customFormat="1">
      <c r="D147" s="191"/>
      <c r="N147" s="233"/>
      <c r="O147" s="233"/>
      <c r="P147" s="233"/>
      <c r="Q147" s="233"/>
      <c r="R147" s="303"/>
      <c r="S147" s="233"/>
      <c r="T147" s="233"/>
      <c r="U147" s="233"/>
      <c r="V147" s="233"/>
      <c r="W147" s="233"/>
      <c r="X147" s="233"/>
      <c r="Y147" s="233"/>
      <c r="Z147" s="233"/>
      <c r="AA147" s="233"/>
    </row>
    <row r="148" spans="4:27" s="139" customFormat="1">
      <c r="D148" s="191"/>
      <c r="N148" s="233"/>
      <c r="O148" s="233"/>
      <c r="P148" s="233"/>
      <c r="Q148" s="233"/>
      <c r="R148" s="303"/>
      <c r="S148" s="233"/>
      <c r="T148" s="233"/>
      <c r="U148" s="233"/>
      <c r="V148" s="233"/>
      <c r="W148" s="233"/>
      <c r="X148" s="233"/>
      <c r="Y148" s="233"/>
      <c r="Z148" s="233"/>
      <c r="AA148" s="233"/>
    </row>
    <row r="149" spans="4:27" s="139" customFormat="1">
      <c r="D149" s="191"/>
      <c r="N149" s="233"/>
      <c r="O149" s="233"/>
      <c r="P149" s="233"/>
      <c r="Q149" s="233"/>
      <c r="R149" s="303"/>
      <c r="S149" s="233"/>
      <c r="T149" s="233"/>
      <c r="U149" s="233"/>
      <c r="V149" s="233"/>
      <c r="W149" s="233"/>
      <c r="X149" s="233"/>
      <c r="Y149" s="233"/>
      <c r="Z149" s="233"/>
      <c r="AA149" s="233"/>
    </row>
    <row r="150" spans="4:27" s="139" customFormat="1">
      <c r="D150" s="191"/>
      <c r="N150" s="233"/>
      <c r="O150" s="233"/>
      <c r="P150" s="233"/>
      <c r="Q150" s="233"/>
      <c r="R150" s="303"/>
      <c r="S150" s="233"/>
      <c r="T150" s="233"/>
      <c r="U150" s="233"/>
      <c r="V150" s="233"/>
      <c r="W150" s="233"/>
      <c r="X150" s="233"/>
      <c r="Y150" s="233"/>
      <c r="Z150" s="233"/>
      <c r="AA150" s="233"/>
    </row>
    <row r="151" spans="4:27" s="139" customFormat="1">
      <c r="D151" s="191"/>
      <c r="N151" s="233"/>
      <c r="O151" s="233"/>
      <c r="P151" s="233"/>
      <c r="Q151" s="233"/>
      <c r="R151" s="303"/>
      <c r="S151" s="233"/>
      <c r="T151" s="233"/>
      <c r="U151" s="233"/>
      <c r="V151" s="233"/>
      <c r="W151" s="233"/>
      <c r="X151" s="233"/>
      <c r="Y151" s="233"/>
      <c r="Z151" s="233"/>
      <c r="AA151" s="233"/>
    </row>
    <row r="152" spans="4:27" s="139" customFormat="1">
      <c r="D152" s="191"/>
      <c r="N152" s="233"/>
      <c r="O152" s="233"/>
      <c r="P152" s="233"/>
      <c r="Q152" s="233"/>
      <c r="R152" s="303"/>
      <c r="S152" s="233"/>
      <c r="T152" s="233"/>
      <c r="U152" s="233"/>
      <c r="V152" s="233"/>
      <c r="W152" s="233"/>
      <c r="X152" s="233"/>
      <c r="Y152" s="233"/>
      <c r="Z152" s="233"/>
      <c r="AA152" s="233"/>
    </row>
    <row r="153" spans="4:27" s="139" customFormat="1">
      <c r="D153" s="191"/>
      <c r="N153" s="233"/>
      <c r="O153" s="233"/>
      <c r="P153" s="233"/>
      <c r="Q153" s="233"/>
      <c r="R153" s="303"/>
      <c r="S153" s="233"/>
      <c r="T153" s="233"/>
      <c r="U153" s="233"/>
      <c r="V153" s="233"/>
      <c r="W153" s="233"/>
      <c r="X153" s="233"/>
      <c r="Y153" s="233"/>
      <c r="Z153" s="233"/>
      <c r="AA153" s="233"/>
    </row>
    <row r="154" spans="4:27" s="139" customFormat="1">
      <c r="D154" s="191"/>
      <c r="N154" s="233"/>
      <c r="O154" s="233"/>
      <c r="P154" s="233"/>
      <c r="Q154" s="233"/>
      <c r="R154" s="303"/>
      <c r="S154" s="233"/>
      <c r="T154" s="233"/>
      <c r="U154" s="233"/>
      <c r="V154" s="233"/>
      <c r="W154" s="233"/>
      <c r="X154" s="233"/>
      <c r="Y154" s="233"/>
      <c r="Z154" s="233"/>
      <c r="AA154" s="233"/>
    </row>
    <row r="155" spans="4:27" s="139" customFormat="1">
      <c r="D155" s="191"/>
      <c r="N155" s="233"/>
      <c r="O155" s="233"/>
      <c r="P155" s="233"/>
      <c r="Q155" s="233"/>
      <c r="R155" s="303"/>
      <c r="S155" s="233"/>
      <c r="T155" s="233"/>
      <c r="U155" s="233"/>
      <c r="V155" s="233"/>
      <c r="W155" s="233"/>
      <c r="X155" s="233"/>
      <c r="Y155" s="233"/>
      <c r="Z155" s="233"/>
      <c r="AA155" s="233"/>
    </row>
    <row r="156" spans="4:27" s="139" customFormat="1">
      <c r="D156" s="191"/>
      <c r="N156" s="233"/>
      <c r="O156" s="233"/>
      <c r="P156" s="233"/>
      <c r="Q156" s="233"/>
      <c r="R156" s="303"/>
      <c r="S156" s="233"/>
      <c r="T156" s="233"/>
      <c r="U156" s="233"/>
      <c r="V156" s="233"/>
      <c r="W156" s="233"/>
      <c r="X156" s="233"/>
      <c r="Y156" s="233"/>
      <c r="Z156" s="233"/>
      <c r="AA156" s="233"/>
    </row>
    <row r="157" spans="4:27" s="139" customFormat="1">
      <c r="D157" s="191"/>
      <c r="N157" s="233"/>
      <c r="O157" s="233"/>
      <c r="P157" s="233"/>
      <c r="Q157" s="233"/>
      <c r="R157" s="303"/>
      <c r="S157" s="233"/>
      <c r="T157" s="233"/>
      <c r="U157" s="233"/>
      <c r="V157" s="233"/>
      <c r="W157" s="233"/>
      <c r="X157" s="233"/>
      <c r="Y157" s="233"/>
      <c r="Z157" s="233"/>
      <c r="AA157" s="233"/>
    </row>
    <row r="158" spans="4:27" s="139" customFormat="1">
      <c r="D158" s="191"/>
      <c r="N158" s="233"/>
      <c r="O158" s="233"/>
      <c r="P158" s="233"/>
      <c r="Q158" s="233"/>
      <c r="R158" s="303"/>
      <c r="S158" s="233"/>
      <c r="T158" s="233"/>
      <c r="U158" s="233"/>
      <c r="V158" s="233"/>
      <c r="W158" s="233"/>
      <c r="X158" s="233"/>
      <c r="Y158" s="233"/>
      <c r="Z158" s="233"/>
      <c r="AA158" s="233"/>
    </row>
    <row r="159" spans="4:27" s="139" customFormat="1">
      <c r="D159" s="191"/>
      <c r="N159" s="233"/>
      <c r="O159" s="233"/>
      <c r="P159" s="233"/>
      <c r="Q159" s="233"/>
      <c r="R159" s="303"/>
      <c r="S159" s="233"/>
      <c r="T159" s="233"/>
      <c r="U159" s="233"/>
      <c r="V159" s="233"/>
      <c r="W159" s="233"/>
      <c r="X159" s="233"/>
      <c r="Y159" s="233"/>
      <c r="Z159" s="233"/>
      <c r="AA159" s="233"/>
    </row>
    <row r="160" spans="4:27" s="139" customFormat="1">
      <c r="D160" s="191"/>
      <c r="N160" s="233"/>
      <c r="O160" s="233"/>
      <c r="P160" s="233"/>
      <c r="Q160" s="233"/>
      <c r="R160" s="303"/>
      <c r="S160" s="233"/>
      <c r="T160" s="233"/>
      <c r="U160" s="233"/>
      <c r="V160" s="233"/>
      <c r="W160" s="233"/>
      <c r="X160" s="233"/>
      <c r="Y160" s="233"/>
      <c r="Z160" s="233"/>
      <c r="AA160" s="233"/>
    </row>
    <row r="161" spans="4:27" s="139" customFormat="1">
      <c r="D161" s="191"/>
      <c r="N161" s="233"/>
      <c r="O161" s="233"/>
      <c r="P161" s="233"/>
      <c r="Q161" s="233"/>
      <c r="R161" s="303"/>
      <c r="S161" s="233"/>
      <c r="T161" s="233"/>
      <c r="U161" s="233"/>
      <c r="V161" s="233"/>
      <c r="W161" s="233"/>
      <c r="X161" s="233"/>
      <c r="Y161" s="233"/>
      <c r="Z161" s="233"/>
      <c r="AA161" s="233"/>
    </row>
    <row r="162" spans="4:27" s="139" customFormat="1">
      <c r="D162" s="191"/>
      <c r="N162" s="233"/>
      <c r="O162" s="233"/>
      <c r="P162" s="233"/>
      <c r="Q162" s="233"/>
      <c r="R162" s="303"/>
      <c r="S162" s="233"/>
      <c r="T162" s="233"/>
      <c r="U162" s="233"/>
      <c r="V162" s="233"/>
      <c r="W162" s="233"/>
      <c r="X162" s="233"/>
      <c r="Y162" s="233"/>
      <c r="Z162" s="233"/>
      <c r="AA162" s="233"/>
    </row>
    <row r="163" spans="4:27" s="139" customFormat="1">
      <c r="D163" s="191"/>
      <c r="N163" s="233"/>
      <c r="O163" s="233"/>
      <c r="P163" s="233"/>
      <c r="Q163" s="233"/>
      <c r="R163" s="303"/>
      <c r="S163" s="233"/>
      <c r="T163" s="233"/>
      <c r="U163" s="233"/>
      <c r="V163" s="233"/>
      <c r="W163" s="233"/>
      <c r="X163" s="233"/>
      <c r="Y163" s="233"/>
      <c r="Z163" s="233"/>
      <c r="AA163" s="233"/>
    </row>
    <row r="164" spans="4:27" s="139" customFormat="1">
      <c r="D164" s="191"/>
      <c r="N164" s="233"/>
      <c r="O164" s="233"/>
      <c r="P164" s="233"/>
      <c r="Q164" s="233"/>
      <c r="R164" s="303"/>
      <c r="S164" s="233"/>
      <c r="T164" s="233"/>
      <c r="U164" s="233"/>
      <c r="V164" s="233"/>
      <c r="W164" s="233"/>
      <c r="X164" s="233"/>
      <c r="Y164" s="233"/>
      <c r="Z164" s="233"/>
      <c r="AA164" s="233"/>
    </row>
    <row r="165" spans="4:27" s="139" customFormat="1">
      <c r="D165" s="191"/>
      <c r="N165" s="233"/>
      <c r="O165" s="233"/>
      <c r="P165" s="233"/>
      <c r="Q165" s="233"/>
      <c r="R165" s="303"/>
      <c r="S165" s="233"/>
      <c r="T165" s="233"/>
      <c r="U165" s="233"/>
      <c r="V165" s="233"/>
      <c r="W165" s="233"/>
      <c r="X165" s="233"/>
      <c r="Y165" s="233"/>
      <c r="Z165" s="233"/>
      <c r="AA165" s="233"/>
    </row>
    <row r="166" spans="4:27" s="139" customFormat="1">
      <c r="D166" s="191"/>
      <c r="N166" s="233"/>
      <c r="O166" s="233"/>
      <c r="P166" s="233"/>
      <c r="Q166" s="233"/>
      <c r="R166" s="303"/>
      <c r="S166" s="233"/>
      <c r="T166" s="233"/>
      <c r="U166" s="233"/>
      <c r="V166" s="233"/>
      <c r="W166" s="233"/>
      <c r="X166" s="233"/>
      <c r="Y166" s="233"/>
      <c r="Z166" s="233"/>
      <c r="AA166" s="233"/>
    </row>
    <row r="167" spans="4:27" s="139" customFormat="1">
      <c r="D167" s="191"/>
      <c r="N167" s="233"/>
      <c r="O167" s="233"/>
      <c r="P167" s="233"/>
      <c r="Q167" s="233"/>
      <c r="R167" s="303"/>
      <c r="S167" s="233"/>
      <c r="T167" s="233"/>
      <c r="U167" s="233"/>
      <c r="V167" s="233"/>
      <c r="W167" s="233"/>
      <c r="X167" s="233"/>
      <c r="Y167" s="233"/>
      <c r="Z167" s="233"/>
      <c r="AA167" s="233"/>
    </row>
    <row r="168" spans="4:27" s="139" customFormat="1">
      <c r="D168" s="191"/>
      <c r="N168" s="233"/>
      <c r="O168" s="233"/>
      <c r="P168" s="233"/>
      <c r="Q168" s="233"/>
      <c r="R168" s="303"/>
      <c r="S168" s="233"/>
      <c r="T168" s="233"/>
      <c r="U168" s="233"/>
      <c r="V168" s="233"/>
      <c r="W168" s="233"/>
      <c r="X168" s="233"/>
      <c r="Y168" s="233"/>
      <c r="Z168" s="233"/>
      <c r="AA168" s="233"/>
    </row>
    <row r="169" spans="4:27" s="139" customFormat="1">
      <c r="D169" s="191"/>
      <c r="N169" s="233"/>
      <c r="O169" s="233"/>
      <c r="P169" s="233"/>
      <c r="Q169" s="233"/>
      <c r="R169" s="303"/>
      <c r="S169" s="233"/>
      <c r="T169" s="233"/>
      <c r="U169" s="233"/>
      <c r="V169" s="233"/>
      <c r="W169" s="233"/>
      <c r="X169" s="233"/>
      <c r="Y169" s="233"/>
      <c r="Z169" s="233"/>
      <c r="AA169" s="233"/>
    </row>
    <row r="170" spans="4:27" s="139" customFormat="1">
      <c r="D170" s="191"/>
      <c r="N170" s="233"/>
      <c r="O170" s="233"/>
      <c r="P170" s="233"/>
      <c r="Q170" s="233"/>
      <c r="R170" s="303"/>
      <c r="S170" s="233"/>
      <c r="T170" s="233"/>
      <c r="U170" s="233"/>
      <c r="V170" s="233"/>
      <c r="W170" s="233"/>
      <c r="X170" s="233"/>
      <c r="Y170" s="233"/>
      <c r="Z170" s="233"/>
      <c r="AA170" s="233"/>
    </row>
    <row r="171" spans="4:27" s="139" customFormat="1">
      <c r="D171" s="191"/>
      <c r="N171" s="233"/>
      <c r="O171" s="233"/>
      <c r="P171" s="233"/>
      <c r="Q171" s="233"/>
      <c r="R171" s="303"/>
      <c r="S171" s="233"/>
      <c r="T171" s="233"/>
      <c r="U171" s="233"/>
      <c r="V171" s="233"/>
      <c r="W171" s="233"/>
      <c r="X171" s="233"/>
      <c r="Y171" s="233"/>
      <c r="Z171" s="233"/>
      <c r="AA171" s="233"/>
    </row>
    <row r="172" spans="4:27" s="139" customFormat="1">
      <c r="D172" s="191"/>
      <c r="N172" s="233"/>
      <c r="O172" s="233"/>
      <c r="P172" s="233"/>
      <c r="Q172" s="233"/>
      <c r="R172" s="303"/>
      <c r="S172" s="233"/>
      <c r="T172" s="233"/>
      <c r="U172" s="233"/>
      <c r="V172" s="233"/>
      <c r="W172" s="233"/>
      <c r="X172" s="233"/>
      <c r="Y172" s="233"/>
      <c r="Z172" s="233"/>
      <c r="AA172" s="233"/>
    </row>
    <row r="173" spans="4:27" s="139" customFormat="1">
      <c r="D173" s="191"/>
      <c r="N173" s="233"/>
      <c r="O173" s="233"/>
      <c r="P173" s="233"/>
      <c r="Q173" s="233"/>
      <c r="R173" s="303"/>
      <c r="S173" s="233"/>
      <c r="T173" s="233"/>
      <c r="U173" s="233"/>
      <c r="V173" s="233"/>
      <c r="W173" s="233"/>
      <c r="X173" s="233"/>
      <c r="Y173" s="233"/>
      <c r="Z173" s="233"/>
      <c r="AA173" s="233"/>
    </row>
    <row r="174" spans="4:27" s="139" customFormat="1">
      <c r="D174" s="191"/>
      <c r="N174" s="233"/>
      <c r="O174" s="233"/>
      <c r="P174" s="233"/>
      <c r="Q174" s="233"/>
      <c r="R174" s="303"/>
      <c r="S174" s="233"/>
      <c r="T174" s="233"/>
      <c r="U174" s="233"/>
      <c r="V174" s="233"/>
      <c r="W174" s="233"/>
      <c r="X174" s="233"/>
      <c r="Y174" s="233"/>
      <c r="Z174" s="233"/>
      <c r="AA174" s="233"/>
    </row>
    <row r="175" spans="4:27" s="139" customFormat="1">
      <c r="D175" s="191"/>
      <c r="N175" s="233"/>
      <c r="O175" s="233"/>
      <c r="P175" s="233"/>
      <c r="Q175" s="233"/>
      <c r="R175" s="303"/>
      <c r="S175" s="233"/>
      <c r="T175" s="233"/>
      <c r="U175" s="233"/>
      <c r="V175" s="233"/>
      <c r="W175" s="233"/>
      <c r="X175" s="233"/>
      <c r="Y175" s="233"/>
      <c r="Z175" s="233"/>
      <c r="AA175" s="233"/>
    </row>
    <row r="176" spans="4:27" s="139" customFormat="1">
      <c r="D176" s="191"/>
      <c r="N176" s="233"/>
      <c r="O176" s="233"/>
      <c r="P176" s="233"/>
      <c r="Q176" s="233"/>
      <c r="R176" s="303"/>
      <c r="S176" s="233"/>
      <c r="T176" s="233"/>
      <c r="U176" s="233"/>
      <c r="V176" s="233"/>
      <c r="W176" s="233"/>
      <c r="X176" s="233"/>
      <c r="Y176" s="233"/>
      <c r="Z176" s="233"/>
      <c r="AA176" s="233"/>
    </row>
    <row r="177" spans="4:27" s="139" customFormat="1">
      <c r="D177" s="191"/>
      <c r="N177" s="233"/>
      <c r="O177" s="233"/>
      <c r="P177" s="233"/>
      <c r="Q177" s="233"/>
      <c r="R177" s="303"/>
      <c r="S177" s="233"/>
      <c r="T177" s="233"/>
      <c r="U177" s="233"/>
      <c r="V177" s="233"/>
      <c r="W177" s="233"/>
      <c r="X177" s="233"/>
      <c r="Y177" s="233"/>
      <c r="Z177" s="233"/>
      <c r="AA177" s="233"/>
    </row>
    <row r="178" spans="4:27" s="139" customFormat="1">
      <c r="D178" s="191"/>
      <c r="N178" s="233"/>
      <c r="O178" s="233"/>
      <c r="P178" s="233"/>
      <c r="Q178" s="233"/>
      <c r="R178" s="303"/>
      <c r="S178" s="233"/>
      <c r="T178" s="233"/>
      <c r="U178" s="233"/>
      <c r="V178" s="233"/>
      <c r="W178" s="233"/>
      <c r="X178" s="233"/>
      <c r="Y178" s="233"/>
      <c r="Z178" s="233"/>
      <c r="AA178" s="233"/>
    </row>
    <row r="179" spans="4:27" s="139" customFormat="1">
      <c r="D179" s="191"/>
      <c r="N179" s="233"/>
      <c r="O179" s="233"/>
      <c r="P179" s="233"/>
      <c r="Q179" s="233"/>
      <c r="R179" s="303"/>
      <c r="S179" s="233"/>
      <c r="T179" s="233"/>
      <c r="U179" s="233"/>
      <c r="V179" s="233"/>
      <c r="W179" s="233"/>
      <c r="X179" s="233"/>
      <c r="Y179" s="233"/>
      <c r="Z179" s="233"/>
      <c r="AA179" s="233"/>
    </row>
    <row r="180" spans="4:27" s="139" customFormat="1">
      <c r="D180" s="191"/>
      <c r="N180" s="233"/>
      <c r="O180" s="233"/>
      <c r="P180" s="233"/>
      <c r="Q180" s="233"/>
      <c r="R180" s="303"/>
      <c r="S180" s="233"/>
      <c r="T180" s="233"/>
      <c r="U180" s="233"/>
      <c r="V180" s="233"/>
      <c r="W180" s="233"/>
      <c r="X180" s="233"/>
      <c r="Y180" s="233"/>
      <c r="Z180" s="233"/>
      <c r="AA180" s="233"/>
    </row>
    <row r="181" spans="4:27" s="139" customFormat="1">
      <c r="D181" s="191"/>
      <c r="N181" s="233"/>
      <c r="O181" s="233"/>
      <c r="P181" s="233"/>
      <c r="Q181" s="233"/>
      <c r="R181" s="303"/>
      <c r="S181" s="233"/>
      <c r="T181" s="233"/>
      <c r="U181" s="233"/>
      <c r="V181" s="233"/>
      <c r="W181" s="233"/>
      <c r="X181" s="233"/>
      <c r="Y181" s="233"/>
      <c r="Z181" s="233"/>
      <c r="AA181" s="233"/>
    </row>
    <row r="182" spans="4:27" s="139" customFormat="1">
      <c r="D182" s="191"/>
      <c r="N182" s="233"/>
      <c r="O182" s="233"/>
      <c r="P182" s="233"/>
      <c r="Q182" s="233"/>
      <c r="R182" s="303"/>
      <c r="S182" s="233"/>
      <c r="T182" s="233"/>
      <c r="U182" s="233"/>
      <c r="V182" s="233"/>
      <c r="W182" s="233"/>
      <c r="X182" s="233"/>
      <c r="Y182" s="233"/>
      <c r="Z182" s="233"/>
      <c r="AA182" s="233"/>
    </row>
    <row r="183" spans="4:27" s="139" customFormat="1">
      <c r="D183" s="191"/>
      <c r="N183" s="233"/>
      <c r="O183" s="233"/>
      <c r="P183" s="233"/>
      <c r="Q183" s="233"/>
      <c r="R183" s="303"/>
      <c r="S183" s="233"/>
      <c r="T183" s="233"/>
      <c r="U183" s="233"/>
      <c r="V183" s="233"/>
      <c r="W183" s="233"/>
      <c r="X183" s="233"/>
      <c r="Y183" s="233"/>
      <c r="Z183" s="233"/>
      <c r="AA183" s="233"/>
    </row>
    <row r="184" spans="4:27" s="139" customFormat="1">
      <c r="D184" s="191"/>
      <c r="N184" s="233"/>
      <c r="O184" s="233"/>
      <c r="P184" s="233"/>
      <c r="Q184" s="233"/>
      <c r="R184" s="303"/>
      <c r="S184" s="233"/>
      <c r="T184" s="233"/>
      <c r="U184" s="233"/>
      <c r="V184" s="233"/>
      <c r="W184" s="233"/>
      <c r="X184" s="233"/>
      <c r="Y184" s="233"/>
      <c r="Z184" s="233"/>
      <c r="AA184" s="233"/>
    </row>
    <row r="185" spans="4:27" s="139" customFormat="1">
      <c r="D185" s="191"/>
      <c r="N185" s="233"/>
      <c r="O185" s="233"/>
      <c r="P185" s="233"/>
      <c r="Q185" s="233"/>
      <c r="R185" s="303"/>
      <c r="S185" s="233"/>
      <c r="T185" s="233"/>
      <c r="U185" s="233"/>
      <c r="V185" s="233"/>
      <c r="W185" s="233"/>
      <c r="X185" s="233"/>
      <c r="Y185" s="233"/>
      <c r="Z185" s="233"/>
      <c r="AA185" s="233"/>
    </row>
    <row r="186" spans="4:27" s="139" customFormat="1">
      <c r="D186" s="191"/>
      <c r="N186" s="233"/>
      <c r="O186" s="233"/>
      <c r="P186" s="233"/>
      <c r="Q186" s="233"/>
      <c r="R186" s="303"/>
      <c r="S186" s="233"/>
      <c r="T186" s="233"/>
      <c r="U186" s="233"/>
      <c r="V186" s="233"/>
      <c r="W186" s="233"/>
      <c r="X186" s="233"/>
      <c r="Y186" s="233"/>
      <c r="Z186" s="233"/>
      <c r="AA186" s="233"/>
    </row>
    <row r="187" spans="4:27" s="139" customFormat="1">
      <c r="D187" s="191"/>
      <c r="N187" s="233"/>
      <c r="O187" s="233"/>
      <c r="P187" s="233"/>
      <c r="Q187" s="233"/>
      <c r="R187" s="303"/>
      <c r="S187" s="233"/>
      <c r="T187" s="233"/>
      <c r="U187" s="233"/>
      <c r="V187" s="233"/>
      <c r="W187" s="233"/>
      <c r="X187" s="233"/>
      <c r="Y187" s="233"/>
      <c r="Z187" s="233"/>
      <c r="AA187" s="233"/>
    </row>
    <row r="188" spans="4:27" s="139" customFormat="1">
      <c r="D188" s="191"/>
      <c r="N188" s="233"/>
      <c r="O188" s="233"/>
      <c r="P188" s="233"/>
      <c r="Q188" s="233"/>
      <c r="R188" s="303"/>
      <c r="S188" s="233"/>
      <c r="T188" s="233"/>
      <c r="U188" s="233"/>
      <c r="V188" s="233"/>
      <c r="W188" s="233"/>
      <c r="X188" s="233"/>
      <c r="Y188" s="233"/>
      <c r="Z188" s="233"/>
      <c r="AA188" s="233"/>
    </row>
    <row r="189" spans="4:27" s="139" customFormat="1">
      <c r="D189" s="191"/>
      <c r="N189" s="233"/>
      <c r="O189" s="233"/>
      <c r="P189" s="233"/>
      <c r="Q189" s="233"/>
      <c r="R189" s="303"/>
      <c r="S189" s="233"/>
      <c r="T189" s="233"/>
      <c r="U189" s="233"/>
      <c r="V189" s="233"/>
      <c r="W189" s="233"/>
      <c r="X189" s="233"/>
      <c r="Y189" s="233"/>
      <c r="Z189" s="233"/>
      <c r="AA189" s="233"/>
    </row>
    <row r="190" spans="4:27" s="139" customFormat="1">
      <c r="D190" s="191"/>
      <c r="N190" s="233"/>
      <c r="O190" s="233"/>
      <c r="P190" s="233"/>
      <c r="Q190" s="233"/>
      <c r="R190" s="303"/>
      <c r="S190" s="233"/>
      <c r="T190" s="233"/>
      <c r="U190" s="233"/>
      <c r="V190" s="233"/>
      <c r="W190" s="233"/>
      <c r="X190" s="233"/>
      <c r="Y190" s="233"/>
      <c r="Z190" s="233"/>
      <c r="AA190" s="233"/>
    </row>
    <row r="191" spans="4:27" s="139" customFormat="1">
      <c r="D191" s="191"/>
      <c r="N191" s="233"/>
      <c r="O191" s="233"/>
      <c r="P191" s="233"/>
      <c r="Q191" s="233"/>
      <c r="R191" s="303"/>
      <c r="S191" s="233"/>
      <c r="T191" s="233"/>
      <c r="U191" s="233"/>
      <c r="V191" s="233"/>
      <c r="W191" s="233"/>
      <c r="X191" s="233"/>
      <c r="Y191" s="233"/>
      <c r="Z191" s="233"/>
      <c r="AA191" s="233"/>
    </row>
    <row r="192" spans="4:27" s="139" customFormat="1">
      <c r="D192" s="191"/>
      <c r="N192" s="233"/>
      <c r="O192" s="233"/>
      <c r="P192" s="233"/>
      <c r="Q192" s="233"/>
      <c r="R192" s="303"/>
      <c r="S192" s="233"/>
      <c r="T192" s="233"/>
      <c r="U192" s="233"/>
      <c r="V192" s="233"/>
      <c r="W192" s="233"/>
      <c r="X192" s="233"/>
      <c r="Y192" s="233"/>
      <c r="Z192" s="233"/>
      <c r="AA192" s="233"/>
    </row>
    <row r="193" spans="4:27" s="139" customFormat="1">
      <c r="D193" s="191"/>
      <c r="N193" s="233"/>
      <c r="O193" s="233"/>
      <c r="P193" s="233"/>
      <c r="Q193" s="233"/>
      <c r="R193" s="303"/>
      <c r="S193" s="233"/>
      <c r="T193" s="233"/>
      <c r="U193" s="233"/>
      <c r="V193" s="233"/>
      <c r="W193" s="233"/>
      <c r="X193" s="233"/>
      <c r="Y193" s="233"/>
      <c r="Z193" s="233"/>
      <c r="AA193" s="233"/>
    </row>
    <row r="194" spans="4:27" s="139" customFormat="1">
      <c r="D194" s="191"/>
      <c r="N194" s="233"/>
      <c r="O194" s="233"/>
      <c r="P194" s="233"/>
      <c r="Q194" s="233"/>
      <c r="R194" s="303"/>
      <c r="S194" s="233"/>
      <c r="T194" s="233"/>
      <c r="U194" s="233"/>
      <c r="V194" s="233"/>
      <c r="W194" s="233"/>
      <c r="X194" s="233"/>
      <c r="Y194" s="233"/>
      <c r="Z194" s="233"/>
      <c r="AA194" s="233"/>
    </row>
    <row r="195" spans="4:27" s="139" customFormat="1">
      <c r="D195" s="191"/>
      <c r="N195" s="233"/>
      <c r="O195" s="233"/>
      <c r="P195" s="233"/>
      <c r="Q195" s="233"/>
      <c r="R195" s="303"/>
      <c r="S195" s="233"/>
      <c r="T195" s="233"/>
      <c r="U195" s="233"/>
      <c r="V195" s="233"/>
      <c r="W195" s="233"/>
      <c r="X195" s="233"/>
      <c r="Y195" s="233"/>
      <c r="Z195" s="233"/>
      <c r="AA195" s="233"/>
    </row>
    <row r="196" spans="4:27" s="139" customFormat="1">
      <c r="D196" s="191"/>
      <c r="N196" s="233"/>
      <c r="O196" s="233"/>
      <c r="P196" s="233"/>
      <c r="Q196" s="233"/>
      <c r="R196" s="303"/>
      <c r="S196" s="233"/>
      <c r="T196" s="233"/>
      <c r="U196" s="233"/>
      <c r="V196" s="233"/>
      <c r="W196" s="233"/>
      <c r="X196" s="233"/>
      <c r="Y196" s="233"/>
      <c r="Z196" s="233"/>
      <c r="AA196" s="233"/>
    </row>
    <row r="197" spans="4:27" s="139" customFormat="1">
      <c r="D197" s="191"/>
      <c r="N197" s="233"/>
      <c r="O197" s="233"/>
      <c r="P197" s="233"/>
      <c r="Q197" s="233"/>
      <c r="R197" s="303"/>
      <c r="S197" s="233"/>
      <c r="T197" s="233"/>
      <c r="U197" s="233"/>
      <c r="V197" s="233"/>
      <c r="W197" s="233"/>
      <c r="X197" s="233"/>
      <c r="Y197" s="233"/>
      <c r="Z197" s="233"/>
      <c r="AA197" s="233"/>
    </row>
    <row r="198" spans="4:27" s="139" customFormat="1">
      <c r="D198" s="191"/>
      <c r="N198" s="233"/>
      <c r="O198" s="233"/>
      <c r="P198" s="233"/>
      <c r="Q198" s="233"/>
      <c r="R198" s="303"/>
      <c r="S198" s="233"/>
      <c r="T198" s="233"/>
      <c r="U198" s="233"/>
      <c r="V198" s="233"/>
      <c r="W198" s="233"/>
      <c r="X198" s="233"/>
      <c r="Y198" s="233"/>
      <c r="Z198" s="233"/>
      <c r="AA198" s="233"/>
    </row>
    <row r="199" spans="4:27" s="139" customFormat="1">
      <c r="D199" s="191"/>
      <c r="N199" s="233"/>
      <c r="O199" s="233"/>
      <c r="P199" s="233"/>
      <c r="Q199" s="233"/>
      <c r="R199" s="303"/>
      <c r="S199" s="233"/>
      <c r="T199" s="233"/>
      <c r="U199" s="233"/>
      <c r="V199" s="233"/>
      <c r="W199" s="233"/>
      <c r="X199" s="233"/>
      <c r="Y199" s="233"/>
      <c r="Z199" s="233"/>
      <c r="AA199" s="233"/>
    </row>
    <row r="200" spans="4:27" s="139" customFormat="1">
      <c r="D200" s="191"/>
      <c r="N200" s="233"/>
      <c r="O200" s="233"/>
      <c r="P200" s="233"/>
      <c r="Q200" s="233"/>
      <c r="R200" s="303"/>
      <c r="S200" s="233"/>
      <c r="T200" s="233"/>
      <c r="U200" s="233"/>
      <c r="V200" s="233"/>
      <c r="W200" s="233"/>
      <c r="X200" s="233"/>
      <c r="Y200" s="233"/>
      <c r="Z200" s="233"/>
      <c r="AA200" s="233"/>
    </row>
    <row r="201" spans="4:27" s="139" customFormat="1">
      <c r="D201" s="191"/>
      <c r="N201" s="233"/>
      <c r="O201" s="233"/>
      <c r="P201" s="233"/>
      <c r="Q201" s="233"/>
      <c r="R201" s="303"/>
      <c r="S201" s="233"/>
      <c r="T201" s="233"/>
      <c r="U201" s="233"/>
      <c r="V201" s="233"/>
      <c r="W201" s="233"/>
      <c r="X201" s="233"/>
      <c r="Y201" s="233"/>
      <c r="Z201" s="233"/>
      <c r="AA201" s="233"/>
    </row>
    <row r="202" spans="4:27" s="139" customFormat="1">
      <c r="D202" s="191"/>
      <c r="N202" s="233"/>
      <c r="O202" s="233"/>
      <c r="P202" s="233"/>
      <c r="Q202" s="233"/>
      <c r="R202" s="303"/>
      <c r="S202" s="233"/>
      <c r="T202" s="233"/>
      <c r="U202" s="233"/>
      <c r="V202" s="233"/>
      <c r="W202" s="233"/>
      <c r="X202" s="233"/>
      <c r="Y202" s="233"/>
      <c r="Z202" s="233"/>
      <c r="AA202" s="233"/>
    </row>
    <row r="203" spans="4:27" s="139" customFormat="1">
      <c r="D203" s="191"/>
      <c r="N203" s="233"/>
      <c r="O203" s="233"/>
      <c r="P203" s="233"/>
      <c r="Q203" s="233"/>
      <c r="R203" s="303"/>
      <c r="S203" s="233"/>
      <c r="T203" s="233"/>
      <c r="U203" s="233"/>
      <c r="V203" s="233"/>
      <c r="W203" s="233"/>
      <c r="X203" s="233"/>
      <c r="Y203" s="233"/>
      <c r="Z203" s="233"/>
      <c r="AA203" s="233"/>
    </row>
    <row r="204" spans="4:27" s="139" customFormat="1">
      <c r="D204" s="191"/>
      <c r="N204" s="233"/>
      <c r="O204" s="233"/>
      <c r="P204" s="233"/>
      <c r="Q204" s="233"/>
      <c r="R204" s="303"/>
      <c r="S204" s="233"/>
      <c r="T204" s="233"/>
      <c r="U204" s="233"/>
      <c r="V204" s="233"/>
      <c r="W204" s="233"/>
      <c r="X204" s="233"/>
      <c r="Y204" s="233"/>
      <c r="Z204" s="233"/>
      <c r="AA204" s="233"/>
    </row>
    <row r="205" spans="4:27" s="139" customFormat="1">
      <c r="D205" s="191"/>
      <c r="N205" s="233"/>
      <c r="O205" s="233"/>
      <c r="P205" s="233"/>
      <c r="Q205" s="233"/>
      <c r="R205" s="303"/>
      <c r="S205" s="233"/>
      <c r="T205" s="233"/>
      <c r="U205" s="233"/>
      <c r="V205" s="233"/>
      <c r="W205" s="233"/>
      <c r="X205" s="233"/>
      <c r="Y205" s="233"/>
      <c r="Z205" s="233"/>
      <c r="AA205" s="233"/>
    </row>
    <row r="206" spans="4:27" s="139" customFormat="1">
      <c r="D206" s="191"/>
      <c r="N206" s="233"/>
      <c r="O206" s="233"/>
      <c r="P206" s="233"/>
      <c r="Q206" s="233"/>
      <c r="R206" s="303"/>
      <c r="S206" s="233"/>
      <c r="T206" s="233"/>
      <c r="U206" s="233"/>
      <c r="V206" s="233"/>
      <c r="W206" s="233"/>
      <c r="X206" s="233"/>
      <c r="Y206" s="233"/>
      <c r="Z206" s="233"/>
      <c r="AA206" s="233"/>
    </row>
    <row r="207" spans="4:27" s="139" customFormat="1">
      <c r="D207" s="191"/>
      <c r="N207" s="233"/>
      <c r="O207" s="233"/>
      <c r="P207" s="233"/>
      <c r="Q207" s="233"/>
      <c r="R207" s="303"/>
      <c r="S207" s="233"/>
      <c r="T207" s="233"/>
      <c r="U207" s="233"/>
      <c r="V207" s="233"/>
      <c r="W207" s="233"/>
      <c r="X207" s="233"/>
      <c r="Y207" s="233"/>
      <c r="Z207" s="233"/>
      <c r="AA207" s="233"/>
    </row>
    <row r="208" spans="4:27" s="139" customFormat="1">
      <c r="D208" s="191"/>
      <c r="N208" s="233"/>
      <c r="O208" s="233"/>
      <c r="P208" s="233"/>
      <c r="Q208" s="233"/>
      <c r="R208" s="303"/>
      <c r="S208" s="233"/>
      <c r="T208" s="233"/>
      <c r="U208" s="233"/>
      <c r="V208" s="233"/>
      <c r="W208" s="233"/>
      <c r="X208" s="233"/>
      <c r="Y208" s="233"/>
      <c r="Z208" s="233"/>
      <c r="AA208" s="233"/>
    </row>
    <row r="209" spans="4:27" s="139" customFormat="1">
      <c r="D209" s="191"/>
      <c r="N209" s="233"/>
      <c r="O209" s="233"/>
      <c r="P209" s="233"/>
      <c r="Q209" s="233"/>
      <c r="R209" s="303"/>
      <c r="S209" s="233"/>
      <c r="T209" s="233"/>
      <c r="U209" s="233"/>
      <c r="V209" s="233"/>
      <c r="W209" s="233"/>
      <c r="X209" s="233"/>
      <c r="Y209" s="233"/>
      <c r="Z209" s="233"/>
      <c r="AA209" s="233"/>
    </row>
    <row r="210" spans="4:27" s="139" customFormat="1">
      <c r="D210" s="191"/>
      <c r="N210" s="233"/>
      <c r="O210" s="233"/>
      <c r="P210" s="233"/>
      <c r="Q210" s="233"/>
      <c r="R210" s="303"/>
      <c r="S210" s="233"/>
      <c r="T210" s="233"/>
      <c r="U210" s="233"/>
      <c r="V210" s="233"/>
      <c r="W210" s="233"/>
      <c r="X210" s="233"/>
      <c r="Y210" s="233"/>
      <c r="Z210" s="233"/>
      <c r="AA210" s="233"/>
    </row>
    <row r="211" spans="4:27" s="139" customFormat="1">
      <c r="D211" s="191"/>
      <c r="N211" s="233"/>
      <c r="O211" s="233"/>
      <c r="P211" s="233"/>
      <c r="Q211" s="233"/>
      <c r="R211" s="303"/>
      <c r="S211" s="233"/>
      <c r="T211" s="233"/>
      <c r="U211" s="233"/>
      <c r="V211" s="233"/>
      <c r="W211" s="233"/>
      <c r="X211" s="233"/>
      <c r="Y211" s="233"/>
      <c r="Z211" s="233"/>
      <c r="AA211" s="233"/>
    </row>
    <row r="212" spans="4:27" s="139" customFormat="1">
      <c r="D212" s="191"/>
      <c r="N212" s="233"/>
      <c r="O212" s="233"/>
      <c r="P212" s="233"/>
      <c r="Q212" s="233"/>
      <c r="R212" s="303"/>
      <c r="S212" s="233"/>
      <c r="T212" s="233"/>
      <c r="U212" s="233"/>
      <c r="V212" s="233"/>
      <c r="W212" s="233"/>
      <c r="X212" s="233"/>
      <c r="Y212" s="233"/>
      <c r="Z212" s="233"/>
      <c r="AA212" s="233"/>
    </row>
    <row r="213" spans="4:27" s="139" customFormat="1">
      <c r="D213" s="191"/>
      <c r="N213" s="233"/>
      <c r="O213" s="233"/>
      <c r="P213" s="233"/>
      <c r="Q213" s="233"/>
      <c r="R213" s="303"/>
      <c r="S213" s="233"/>
      <c r="T213" s="233"/>
      <c r="U213" s="233"/>
      <c r="V213" s="233"/>
      <c r="W213" s="233"/>
      <c r="X213" s="233"/>
      <c r="Y213" s="233"/>
      <c r="Z213" s="233"/>
      <c r="AA213" s="233"/>
    </row>
    <row r="214" spans="4:27" s="139" customFormat="1">
      <c r="D214" s="191"/>
      <c r="N214" s="233"/>
      <c r="O214" s="233"/>
      <c r="P214" s="233"/>
      <c r="Q214" s="233"/>
      <c r="R214" s="303"/>
      <c r="S214" s="233"/>
      <c r="T214" s="233"/>
      <c r="U214" s="233"/>
      <c r="V214" s="233"/>
      <c r="W214" s="233"/>
      <c r="X214" s="233"/>
      <c r="Y214" s="233"/>
      <c r="Z214" s="233"/>
      <c r="AA214" s="233"/>
    </row>
    <row r="215" spans="4:27" s="139" customFormat="1">
      <c r="D215" s="191"/>
      <c r="N215" s="233"/>
      <c r="O215" s="233"/>
      <c r="P215" s="233"/>
      <c r="Q215" s="233"/>
      <c r="R215" s="303"/>
      <c r="S215" s="233"/>
      <c r="T215" s="233"/>
      <c r="U215" s="233"/>
      <c r="V215" s="233"/>
      <c r="W215" s="233"/>
      <c r="X215" s="233"/>
      <c r="Y215" s="233"/>
      <c r="Z215" s="233"/>
      <c r="AA215" s="233"/>
    </row>
    <row r="216" spans="4:27" s="139" customFormat="1">
      <c r="D216" s="191"/>
      <c r="N216" s="233"/>
      <c r="O216" s="233"/>
      <c r="P216" s="233"/>
      <c r="Q216" s="233"/>
      <c r="R216" s="303"/>
      <c r="S216" s="233"/>
      <c r="T216" s="233"/>
      <c r="U216" s="233"/>
      <c r="V216" s="233"/>
      <c r="W216" s="233"/>
      <c r="X216" s="233"/>
      <c r="Y216" s="233"/>
      <c r="Z216" s="233"/>
      <c r="AA216" s="233"/>
    </row>
    <row r="217" spans="4:27" s="139" customFormat="1">
      <c r="D217" s="191"/>
      <c r="N217" s="233"/>
      <c r="O217" s="233"/>
      <c r="P217" s="233"/>
      <c r="Q217" s="233"/>
      <c r="R217" s="303"/>
      <c r="S217" s="233"/>
      <c r="T217" s="233"/>
      <c r="U217" s="233"/>
      <c r="V217" s="233"/>
      <c r="W217" s="233"/>
      <c r="X217" s="233"/>
      <c r="Y217" s="233"/>
      <c r="Z217" s="233"/>
      <c r="AA217" s="233"/>
    </row>
    <row r="218" spans="4:27" s="139" customFormat="1">
      <c r="D218" s="191"/>
      <c r="N218" s="233"/>
      <c r="O218" s="233"/>
      <c r="P218" s="233"/>
      <c r="Q218" s="233"/>
      <c r="R218" s="303"/>
      <c r="S218" s="233"/>
      <c r="T218" s="233"/>
      <c r="U218" s="233"/>
      <c r="V218" s="233"/>
      <c r="W218" s="233"/>
      <c r="X218" s="233"/>
      <c r="Y218" s="233"/>
      <c r="Z218" s="233"/>
      <c r="AA218" s="233"/>
    </row>
    <row r="219" spans="4:27" s="139" customFormat="1">
      <c r="D219" s="191"/>
      <c r="N219" s="233"/>
      <c r="O219" s="233"/>
      <c r="P219" s="233"/>
      <c r="Q219" s="233"/>
      <c r="R219" s="303"/>
      <c r="S219" s="233"/>
      <c r="T219" s="233"/>
      <c r="U219" s="233"/>
      <c r="V219" s="233"/>
      <c r="W219" s="233"/>
      <c r="X219" s="233"/>
      <c r="Y219" s="233"/>
      <c r="Z219" s="233"/>
      <c r="AA219" s="233"/>
    </row>
    <row r="220" spans="4:27" s="139" customFormat="1">
      <c r="D220" s="191"/>
      <c r="N220" s="233"/>
      <c r="O220" s="233"/>
      <c r="P220" s="233"/>
      <c r="Q220" s="233"/>
      <c r="R220" s="303"/>
      <c r="S220" s="233"/>
      <c r="T220" s="233"/>
      <c r="U220" s="233"/>
      <c r="V220" s="233"/>
      <c r="W220" s="233"/>
      <c r="X220" s="233"/>
      <c r="Y220" s="233"/>
      <c r="Z220" s="233"/>
      <c r="AA220" s="233"/>
    </row>
    <row r="221" spans="4:27" s="139" customFormat="1">
      <c r="D221" s="191"/>
      <c r="N221" s="233"/>
      <c r="O221" s="233"/>
      <c r="P221" s="233"/>
      <c r="Q221" s="233"/>
      <c r="R221" s="303"/>
      <c r="S221" s="233"/>
      <c r="T221" s="233"/>
      <c r="U221" s="233"/>
      <c r="V221" s="233"/>
      <c r="W221" s="233"/>
      <c r="X221" s="233"/>
      <c r="Y221" s="233"/>
      <c r="Z221" s="233"/>
      <c r="AA221" s="233"/>
    </row>
    <row r="222" spans="4:27" s="139" customFormat="1">
      <c r="D222" s="191"/>
      <c r="N222" s="233"/>
      <c r="O222" s="233"/>
      <c r="P222" s="233"/>
      <c r="Q222" s="233"/>
      <c r="R222" s="303"/>
      <c r="S222" s="233"/>
      <c r="T222" s="233"/>
      <c r="U222" s="233"/>
      <c r="V222" s="233"/>
      <c r="W222" s="233"/>
      <c r="X222" s="233"/>
      <c r="Y222" s="233"/>
      <c r="Z222" s="233"/>
      <c r="AA222" s="233"/>
    </row>
    <row r="223" spans="4:27" s="139" customFormat="1">
      <c r="D223" s="191"/>
      <c r="N223" s="233"/>
      <c r="O223" s="233"/>
      <c r="P223" s="233"/>
      <c r="Q223" s="233"/>
      <c r="R223" s="303"/>
      <c r="S223" s="233"/>
      <c r="T223" s="233"/>
      <c r="U223" s="233"/>
      <c r="V223" s="233"/>
      <c r="W223" s="233"/>
      <c r="X223" s="233"/>
      <c r="Y223" s="233"/>
      <c r="Z223" s="233"/>
      <c r="AA223" s="233"/>
    </row>
    <row r="224" spans="4:27" s="139" customFormat="1">
      <c r="D224" s="191"/>
      <c r="N224" s="233"/>
      <c r="O224" s="233"/>
      <c r="P224" s="233"/>
      <c r="Q224" s="233"/>
      <c r="R224" s="303"/>
      <c r="S224" s="233"/>
      <c r="T224" s="233"/>
      <c r="U224" s="233"/>
      <c r="V224" s="233"/>
      <c r="W224" s="233"/>
      <c r="X224" s="233"/>
      <c r="Y224" s="233"/>
      <c r="Z224" s="233"/>
      <c r="AA224" s="233"/>
    </row>
    <row r="225" spans="4:27" s="139" customFormat="1">
      <c r="D225" s="191"/>
      <c r="N225" s="233"/>
      <c r="O225" s="233"/>
      <c r="P225" s="233"/>
      <c r="Q225" s="233"/>
      <c r="R225" s="303"/>
      <c r="S225" s="233"/>
      <c r="T225" s="233"/>
      <c r="U225" s="233"/>
      <c r="V225" s="233"/>
      <c r="W225" s="233"/>
      <c r="X225" s="233"/>
      <c r="Y225" s="233"/>
      <c r="Z225" s="233"/>
      <c r="AA225" s="233"/>
    </row>
    <row r="226" spans="4:27" s="139" customFormat="1">
      <c r="D226" s="191"/>
      <c r="N226" s="233"/>
      <c r="O226" s="233"/>
      <c r="P226" s="233"/>
      <c r="Q226" s="233"/>
      <c r="R226" s="303"/>
      <c r="S226" s="233"/>
      <c r="T226" s="233"/>
      <c r="U226" s="233"/>
      <c r="V226" s="233"/>
      <c r="W226" s="233"/>
      <c r="X226" s="233"/>
      <c r="Y226" s="233"/>
      <c r="Z226" s="233"/>
      <c r="AA226" s="233"/>
    </row>
    <row r="227" spans="4:27" s="139" customFormat="1">
      <c r="D227" s="191"/>
      <c r="N227" s="233"/>
      <c r="O227" s="233"/>
      <c r="P227" s="233"/>
      <c r="Q227" s="233"/>
      <c r="R227" s="303"/>
      <c r="S227" s="233"/>
      <c r="T227" s="233"/>
      <c r="U227" s="233"/>
      <c r="V227" s="233"/>
      <c r="W227" s="233"/>
      <c r="X227" s="233"/>
      <c r="Y227" s="233"/>
      <c r="Z227" s="233"/>
      <c r="AA227" s="233"/>
    </row>
    <row r="228" spans="4:27" s="139" customFormat="1">
      <c r="D228" s="191"/>
      <c r="N228" s="233"/>
      <c r="O228" s="233"/>
      <c r="P228" s="233"/>
      <c r="Q228" s="233"/>
      <c r="R228" s="303"/>
      <c r="S228" s="233"/>
      <c r="T228" s="233"/>
      <c r="U228" s="233"/>
      <c r="V228" s="233"/>
      <c r="W228" s="233"/>
      <c r="X228" s="233"/>
      <c r="Y228" s="233"/>
      <c r="Z228" s="233"/>
      <c r="AA228" s="233"/>
    </row>
    <row r="229" spans="4:27" s="139" customFormat="1">
      <c r="D229" s="191"/>
      <c r="N229" s="233"/>
      <c r="O229" s="233"/>
      <c r="P229" s="233"/>
      <c r="Q229" s="233"/>
      <c r="R229" s="303"/>
      <c r="S229" s="233"/>
      <c r="T229" s="233"/>
      <c r="U229" s="233"/>
      <c r="V229" s="233"/>
      <c r="W229" s="233"/>
      <c r="X229" s="233"/>
      <c r="Y229" s="233"/>
      <c r="Z229" s="233"/>
      <c r="AA229" s="233"/>
    </row>
    <row r="230" spans="4:27" s="139" customFormat="1">
      <c r="D230" s="191"/>
      <c r="N230" s="233"/>
      <c r="O230" s="233"/>
      <c r="P230" s="233"/>
      <c r="Q230" s="233"/>
      <c r="R230" s="303"/>
      <c r="S230" s="233"/>
      <c r="T230" s="233"/>
      <c r="U230" s="233"/>
      <c r="V230" s="233"/>
      <c r="W230" s="233"/>
      <c r="X230" s="233"/>
      <c r="Y230" s="233"/>
      <c r="Z230" s="233"/>
      <c r="AA230" s="233"/>
    </row>
    <row r="231" spans="4:27" s="139" customFormat="1">
      <c r="D231" s="191"/>
      <c r="N231" s="233"/>
      <c r="O231" s="233"/>
      <c r="P231" s="233"/>
      <c r="Q231" s="233"/>
      <c r="R231" s="303"/>
      <c r="S231" s="233"/>
      <c r="T231" s="233"/>
      <c r="U231" s="233"/>
      <c r="V231" s="233"/>
      <c r="W231" s="233"/>
      <c r="X231" s="233"/>
      <c r="Y231" s="233"/>
      <c r="Z231" s="233"/>
      <c r="AA231" s="233"/>
    </row>
    <row r="232" spans="4:27" s="139" customFormat="1">
      <c r="D232" s="191"/>
      <c r="N232" s="233"/>
      <c r="O232" s="233"/>
      <c r="P232" s="233"/>
      <c r="Q232" s="233"/>
      <c r="R232" s="303"/>
      <c r="S232" s="233"/>
      <c r="T232" s="233"/>
      <c r="U232" s="233"/>
      <c r="V232" s="233"/>
      <c r="W232" s="233"/>
      <c r="X232" s="233"/>
      <c r="Y232" s="233"/>
      <c r="Z232" s="233"/>
      <c r="AA232" s="233"/>
    </row>
    <row r="233" spans="4:27" s="139" customFormat="1">
      <c r="D233" s="191"/>
      <c r="N233" s="233"/>
      <c r="O233" s="233"/>
      <c r="P233" s="233"/>
      <c r="Q233" s="233"/>
      <c r="R233" s="303"/>
      <c r="S233" s="233"/>
      <c r="T233" s="233"/>
      <c r="U233" s="233"/>
      <c r="V233" s="233"/>
      <c r="W233" s="233"/>
      <c r="X233" s="233"/>
      <c r="Y233" s="233"/>
      <c r="Z233" s="233"/>
      <c r="AA233" s="233"/>
    </row>
    <row r="234" spans="4:27" s="139" customFormat="1">
      <c r="D234" s="191"/>
      <c r="N234" s="233"/>
      <c r="O234" s="233"/>
      <c r="P234" s="233"/>
      <c r="Q234" s="233"/>
      <c r="R234" s="303"/>
      <c r="S234" s="233"/>
      <c r="T234" s="233"/>
      <c r="U234" s="233"/>
      <c r="V234" s="233"/>
      <c r="W234" s="233"/>
      <c r="X234" s="233"/>
      <c r="Y234" s="233"/>
      <c r="Z234" s="233"/>
      <c r="AA234" s="233"/>
    </row>
    <row r="235" spans="4:27" s="139" customFormat="1">
      <c r="D235" s="191"/>
      <c r="N235" s="233"/>
      <c r="O235" s="233"/>
      <c r="P235" s="233"/>
      <c r="Q235" s="233"/>
      <c r="R235" s="303"/>
      <c r="S235" s="233"/>
      <c r="T235" s="233"/>
      <c r="U235" s="233"/>
      <c r="V235" s="233"/>
      <c r="W235" s="233"/>
      <c r="X235" s="233"/>
      <c r="Y235" s="233"/>
      <c r="Z235" s="233"/>
      <c r="AA235" s="233"/>
    </row>
    <row r="236" spans="4:27" s="139" customFormat="1">
      <c r="D236" s="191"/>
      <c r="N236" s="233"/>
      <c r="O236" s="233"/>
      <c r="P236" s="233"/>
      <c r="Q236" s="233"/>
      <c r="R236" s="303"/>
      <c r="S236" s="233"/>
      <c r="T236" s="233"/>
      <c r="U236" s="233"/>
      <c r="V236" s="233"/>
      <c r="W236" s="233"/>
      <c r="X236" s="233"/>
      <c r="Y236" s="233"/>
      <c r="Z236" s="233"/>
      <c r="AA236" s="233"/>
    </row>
    <row r="237" spans="4:27" s="139" customFormat="1">
      <c r="D237" s="191"/>
      <c r="N237" s="233"/>
      <c r="O237" s="233"/>
      <c r="P237" s="233"/>
      <c r="Q237" s="233"/>
      <c r="R237" s="303"/>
      <c r="S237" s="233"/>
      <c r="T237" s="233"/>
      <c r="U237" s="233"/>
      <c r="V237" s="233"/>
      <c r="W237" s="233"/>
      <c r="X237" s="233"/>
      <c r="Y237" s="233"/>
      <c r="Z237" s="233"/>
      <c r="AA237" s="233"/>
    </row>
    <row r="238" spans="4:27" s="139" customFormat="1">
      <c r="D238" s="191"/>
      <c r="N238" s="233"/>
      <c r="O238" s="233"/>
      <c r="P238" s="233"/>
      <c r="Q238" s="233"/>
      <c r="R238" s="303"/>
      <c r="S238" s="233"/>
      <c r="T238" s="233"/>
      <c r="U238" s="233"/>
      <c r="V238" s="233"/>
      <c r="W238" s="233"/>
      <c r="X238" s="233"/>
      <c r="Y238" s="233"/>
      <c r="Z238" s="233"/>
      <c r="AA238" s="233"/>
    </row>
    <row r="239" spans="4:27" s="139" customFormat="1">
      <c r="D239" s="191"/>
      <c r="N239" s="233"/>
      <c r="O239" s="233"/>
      <c r="P239" s="233"/>
      <c r="Q239" s="233"/>
      <c r="R239" s="303"/>
      <c r="S239" s="233"/>
      <c r="T239" s="233"/>
      <c r="U239" s="233"/>
      <c r="V239" s="233"/>
      <c r="W239" s="233"/>
      <c r="X239" s="233"/>
      <c r="Y239" s="233"/>
      <c r="Z239" s="233"/>
      <c r="AA239" s="233"/>
    </row>
    <row r="240" spans="4:27" s="139" customFormat="1">
      <c r="D240" s="191"/>
      <c r="N240" s="233"/>
      <c r="O240" s="233"/>
      <c r="P240" s="233"/>
      <c r="Q240" s="233"/>
      <c r="R240" s="303"/>
      <c r="S240" s="233"/>
      <c r="T240" s="233"/>
      <c r="U240" s="233"/>
      <c r="V240" s="233"/>
      <c r="W240" s="233"/>
      <c r="X240" s="233"/>
      <c r="Y240" s="233"/>
      <c r="Z240" s="233"/>
      <c r="AA240" s="233"/>
    </row>
    <row r="241" spans="4:27" s="139" customFormat="1">
      <c r="D241" s="191"/>
      <c r="N241" s="233"/>
      <c r="O241" s="233"/>
      <c r="P241" s="233"/>
      <c r="Q241" s="233"/>
      <c r="R241" s="303"/>
      <c r="S241" s="233"/>
      <c r="T241" s="233"/>
      <c r="U241" s="233"/>
      <c r="V241" s="233"/>
      <c r="W241" s="233"/>
      <c r="X241" s="233"/>
      <c r="Y241" s="233"/>
      <c r="Z241" s="233"/>
      <c r="AA241" s="233"/>
    </row>
    <row r="242" spans="4:27" s="139" customFormat="1">
      <c r="D242" s="191"/>
      <c r="N242" s="233"/>
      <c r="O242" s="233"/>
      <c r="P242" s="233"/>
      <c r="Q242" s="233"/>
      <c r="R242" s="303"/>
      <c r="S242" s="233"/>
      <c r="T242" s="233"/>
      <c r="U242" s="233"/>
      <c r="V242" s="233"/>
      <c r="W242" s="233"/>
      <c r="X242" s="233"/>
      <c r="Y242" s="233"/>
      <c r="Z242" s="233"/>
      <c r="AA242" s="233"/>
    </row>
    <row r="243" spans="4:27" s="139" customFormat="1">
      <c r="D243" s="191"/>
      <c r="N243" s="233"/>
      <c r="O243" s="233"/>
      <c r="P243" s="233"/>
      <c r="Q243" s="233"/>
      <c r="R243" s="303"/>
      <c r="S243" s="233"/>
      <c r="T243" s="233"/>
      <c r="U243" s="233"/>
      <c r="V243" s="233"/>
      <c r="W243" s="233"/>
      <c r="X243" s="233"/>
      <c r="Y243" s="233"/>
      <c r="Z243" s="233"/>
      <c r="AA243" s="233"/>
    </row>
    <row r="244" spans="4:27" s="139" customFormat="1">
      <c r="D244" s="191"/>
      <c r="N244" s="233"/>
      <c r="O244" s="233"/>
      <c r="P244" s="233"/>
      <c r="Q244" s="233"/>
      <c r="R244" s="303"/>
      <c r="S244" s="233"/>
      <c r="T244" s="233"/>
      <c r="U244" s="233"/>
      <c r="V244" s="233"/>
      <c r="W244" s="233"/>
      <c r="X244" s="233"/>
      <c r="Y244" s="233"/>
      <c r="Z244" s="233"/>
      <c r="AA244" s="233"/>
    </row>
    <row r="245" spans="4:27" s="139" customFormat="1">
      <c r="D245" s="191"/>
      <c r="N245" s="233"/>
      <c r="O245" s="233"/>
      <c r="P245" s="233"/>
      <c r="Q245" s="233"/>
      <c r="R245" s="303"/>
      <c r="S245" s="233"/>
      <c r="T245" s="233"/>
      <c r="U245" s="233"/>
      <c r="V245" s="233"/>
      <c r="W245" s="233"/>
      <c r="X245" s="233"/>
      <c r="Y245" s="233"/>
      <c r="Z245" s="233"/>
      <c r="AA245" s="233"/>
    </row>
    <row r="246" spans="4:27" s="139" customFormat="1">
      <c r="D246" s="191"/>
      <c r="N246" s="233"/>
      <c r="O246" s="233"/>
      <c r="P246" s="233"/>
      <c r="Q246" s="233"/>
      <c r="R246" s="303"/>
      <c r="S246" s="233"/>
      <c r="T246" s="233"/>
      <c r="U246" s="233"/>
      <c r="V246" s="233"/>
      <c r="W246" s="233"/>
      <c r="X246" s="233"/>
      <c r="Y246" s="233"/>
      <c r="Z246" s="233"/>
      <c r="AA246" s="233"/>
    </row>
    <row r="247" spans="4:27" s="139" customFormat="1">
      <c r="D247" s="191"/>
      <c r="N247" s="233"/>
      <c r="O247" s="233"/>
      <c r="P247" s="233"/>
      <c r="Q247" s="233"/>
      <c r="R247" s="303"/>
      <c r="S247" s="233"/>
      <c r="T247" s="233"/>
      <c r="U247" s="233"/>
      <c r="V247" s="233"/>
      <c r="W247" s="233"/>
      <c r="X247" s="233"/>
      <c r="Y247" s="233"/>
      <c r="Z247" s="233"/>
      <c r="AA247" s="233"/>
    </row>
    <row r="248" spans="4:27" s="139" customFormat="1">
      <c r="D248" s="191"/>
      <c r="N248" s="233"/>
      <c r="O248" s="233"/>
      <c r="P248" s="233"/>
      <c r="Q248" s="233"/>
      <c r="R248" s="303"/>
      <c r="S248" s="233"/>
      <c r="T248" s="233"/>
      <c r="U248" s="233"/>
      <c r="V248" s="233"/>
      <c r="W248" s="233"/>
      <c r="X248" s="233"/>
      <c r="Y248" s="233"/>
      <c r="Z248" s="233"/>
      <c r="AA248" s="233"/>
    </row>
    <row r="249" spans="4:27" s="139" customFormat="1">
      <c r="D249" s="191"/>
      <c r="N249" s="233"/>
      <c r="O249" s="233"/>
      <c r="P249" s="233"/>
      <c r="Q249" s="233"/>
      <c r="R249" s="303"/>
      <c r="S249" s="233"/>
      <c r="T249" s="233"/>
      <c r="U249" s="233"/>
      <c r="V249" s="233"/>
      <c r="W249" s="233"/>
      <c r="X249" s="233"/>
      <c r="Y249" s="233"/>
      <c r="Z249" s="233"/>
      <c r="AA249" s="233"/>
    </row>
    <row r="250" spans="4:27" s="139" customFormat="1">
      <c r="D250" s="191"/>
      <c r="N250" s="233"/>
      <c r="O250" s="233"/>
      <c r="P250" s="233"/>
      <c r="Q250" s="233"/>
      <c r="R250" s="303"/>
      <c r="S250" s="233"/>
      <c r="T250" s="233"/>
      <c r="U250" s="233"/>
      <c r="V250" s="233"/>
      <c r="W250" s="233"/>
      <c r="X250" s="233"/>
      <c r="Y250" s="233"/>
      <c r="Z250" s="233"/>
      <c r="AA250" s="233"/>
    </row>
    <row r="251" spans="4:27" s="139" customFormat="1">
      <c r="D251" s="191"/>
      <c r="N251" s="233"/>
      <c r="O251" s="233"/>
      <c r="P251" s="233"/>
      <c r="Q251" s="233"/>
      <c r="R251" s="303"/>
      <c r="S251" s="233"/>
      <c r="T251" s="233"/>
      <c r="U251" s="233"/>
      <c r="V251" s="233"/>
      <c r="W251" s="233"/>
      <c r="X251" s="233"/>
      <c r="Y251" s="233"/>
      <c r="Z251" s="233"/>
      <c r="AA251" s="233"/>
    </row>
    <row r="252" spans="4:27" s="139" customFormat="1">
      <c r="D252" s="191"/>
      <c r="N252" s="233"/>
      <c r="O252" s="233"/>
      <c r="P252" s="233"/>
      <c r="Q252" s="233"/>
      <c r="R252" s="303"/>
      <c r="S252" s="233"/>
      <c r="T252" s="233"/>
      <c r="U252" s="233"/>
      <c r="V252" s="233"/>
      <c r="W252" s="233"/>
      <c r="X252" s="233"/>
      <c r="Y252" s="233"/>
      <c r="Z252" s="233"/>
      <c r="AA252" s="233"/>
    </row>
    <row r="253" spans="4:27" s="139" customFormat="1">
      <c r="D253" s="191"/>
      <c r="N253" s="233"/>
      <c r="O253" s="233"/>
      <c r="P253" s="233"/>
      <c r="Q253" s="233"/>
      <c r="R253" s="303"/>
      <c r="S253" s="233"/>
      <c r="T253" s="233"/>
      <c r="U253" s="233"/>
      <c r="V253" s="233"/>
      <c r="W253" s="233"/>
      <c r="X253" s="233"/>
      <c r="Y253" s="233"/>
      <c r="Z253" s="233"/>
      <c r="AA253" s="233"/>
    </row>
    <row r="254" spans="4:27" s="139" customFormat="1">
      <c r="D254" s="191"/>
      <c r="N254" s="233"/>
      <c r="O254" s="233"/>
      <c r="P254" s="233"/>
      <c r="Q254" s="233"/>
      <c r="R254" s="303"/>
      <c r="S254" s="233"/>
      <c r="T254" s="233"/>
      <c r="U254" s="233"/>
      <c r="V254" s="233"/>
      <c r="W254" s="233"/>
      <c r="X254" s="233"/>
      <c r="Y254" s="233"/>
      <c r="Z254" s="233"/>
      <c r="AA254" s="233"/>
    </row>
    <row r="255" spans="4:27" s="139" customFormat="1">
      <c r="D255" s="191"/>
      <c r="N255" s="233"/>
      <c r="O255" s="233"/>
      <c r="P255" s="233"/>
      <c r="Q255" s="233"/>
      <c r="R255" s="303"/>
      <c r="S255" s="233"/>
      <c r="T255" s="233"/>
      <c r="U255" s="233"/>
      <c r="V255" s="233"/>
      <c r="W255" s="233"/>
      <c r="X255" s="233"/>
      <c r="Y255" s="233"/>
      <c r="Z255" s="233"/>
      <c r="AA255" s="233"/>
    </row>
    <row r="256" spans="4:27" s="139" customFormat="1">
      <c r="D256" s="191"/>
      <c r="N256" s="233"/>
      <c r="O256" s="233"/>
      <c r="P256" s="233"/>
      <c r="Q256" s="233"/>
      <c r="R256" s="303"/>
      <c r="S256" s="233"/>
      <c r="T256" s="233"/>
      <c r="U256" s="233"/>
      <c r="V256" s="233"/>
      <c r="W256" s="233"/>
      <c r="X256" s="233"/>
      <c r="Y256" s="233"/>
      <c r="Z256" s="233"/>
      <c r="AA256" s="233"/>
    </row>
    <row r="257" spans="4:27" s="139" customFormat="1">
      <c r="D257" s="191"/>
      <c r="N257" s="233"/>
      <c r="O257" s="233"/>
      <c r="P257" s="233"/>
      <c r="Q257" s="233"/>
      <c r="R257" s="303"/>
      <c r="S257" s="233"/>
      <c r="T257" s="233"/>
      <c r="U257" s="233"/>
      <c r="V257" s="233"/>
      <c r="W257" s="233"/>
      <c r="X257" s="233"/>
      <c r="Y257" s="233"/>
      <c r="Z257" s="233"/>
      <c r="AA257" s="233"/>
    </row>
    <row r="258" spans="4:27" s="139" customFormat="1">
      <c r="D258" s="191"/>
      <c r="N258" s="233"/>
      <c r="O258" s="233"/>
      <c r="P258" s="233"/>
      <c r="Q258" s="233"/>
      <c r="R258" s="303"/>
      <c r="S258" s="233"/>
      <c r="T258" s="233"/>
      <c r="U258" s="233"/>
      <c r="V258" s="233"/>
      <c r="W258" s="233"/>
      <c r="X258" s="233"/>
      <c r="Y258" s="233"/>
      <c r="Z258" s="233"/>
      <c r="AA258" s="233"/>
    </row>
    <row r="259" spans="4:27" s="139" customFormat="1">
      <c r="D259" s="191"/>
      <c r="N259" s="233"/>
      <c r="O259" s="233"/>
      <c r="P259" s="233"/>
      <c r="Q259" s="233"/>
      <c r="R259" s="303"/>
      <c r="S259" s="233"/>
      <c r="T259" s="233"/>
      <c r="U259" s="233"/>
      <c r="V259" s="233"/>
      <c r="W259" s="233"/>
      <c r="X259" s="233"/>
      <c r="Y259" s="233"/>
      <c r="Z259" s="233"/>
      <c r="AA259" s="233"/>
    </row>
    <row r="260" spans="4:27" s="139" customFormat="1">
      <c r="D260" s="191"/>
      <c r="N260" s="233"/>
      <c r="O260" s="233"/>
      <c r="P260" s="233"/>
      <c r="Q260" s="233"/>
      <c r="R260" s="303"/>
      <c r="S260" s="233"/>
      <c r="T260" s="233"/>
      <c r="U260" s="233"/>
      <c r="V260" s="233"/>
      <c r="W260" s="233"/>
      <c r="X260" s="233"/>
      <c r="Y260" s="233"/>
      <c r="Z260" s="233"/>
      <c r="AA260" s="233"/>
    </row>
    <row r="261" spans="4:27" s="139" customFormat="1">
      <c r="D261" s="191"/>
      <c r="N261" s="233"/>
      <c r="O261" s="233"/>
      <c r="P261" s="233"/>
      <c r="Q261" s="233"/>
      <c r="R261" s="303"/>
      <c r="S261" s="233"/>
      <c r="T261" s="233"/>
      <c r="U261" s="233"/>
      <c r="V261" s="233"/>
      <c r="W261" s="233"/>
      <c r="X261" s="233"/>
      <c r="Y261" s="233"/>
      <c r="Z261" s="233"/>
      <c r="AA261" s="233"/>
    </row>
    <row r="262" spans="4:27" s="139" customFormat="1">
      <c r="D262" s="191"/>
      <c r="N262" s="233"/>
      <c r="O262" s="233"/>
      <c r="P262" s="233"/>
      <c r="Q262" s="233"/>
      <c r="R262" s="303"/>
      <c r="S262" s="233"/>
      <c r="T262" s="233"/>
      <c r="U262" s="233"/>
      <c r="V262" s="233"/>
      <c r="W262" s="233"/>
      <c r="X262" s="233"/>
      <c r="Y262" s="233"/>
      <c r="Z262" s="233"/>
      <c r="AA262" s="233"/>
    </row>
    <row r="263" spans="4:27" s="139" customFormat="1">
      <c r="D263" s="191"/>
      <c r="N263" s="233"/>
      <c r="O263" s="233"/>
      <c r="P263" s="233"/>
      <c r="Q263" s="233"/>
      <c r="R263" s="303"/>
      <c r="S263" s="233"/>
      <c r="T263" s="233"/>
      <c r="U263" s="233"/>
      <c r="V263" s="233"/>
      <c r="W263" s="233"/>
      <c r="X263" s="233"/>
      <c r="Y263" s="233"/>
      <c r="Z263" s="233"/>
      <c r="AA263" s="233"/>
    </row>
    <row r="264" spans="4:27" s="139" customFormat="1">
      <c r="D264" s="191"/>
      <c r="N264" s="233"/>
      <c r="O264" s="233"/>
      <c r="P264" s="233"/>
      <c r="Q264" s="233"/>
      <c r="R264" s="303"/>
      <c r="S264" s="233"/>
      <c r="T264" s="233"/>
      <c r="U264" s="233"/>
      <c r="V264" s="233"/>
      <c r="W264" s="233"/>
      <c r="X264" s="233"/>
      <c r="Y264" s="233"/>
      <c r="Z264" s="233"/>
      <c r="AA264" s="233"/>
    </row>
    <row r="265" spans="4:27" s="139" customFormat="1">
      <c r="D265" s="191"/>
      <c r="N265" s="233"/>
      <c r="O265" s="233"/>
      <c r="P265" s="233"/>
      <c r="Q265" s="233"/>
      <c r="R265" s="303"/>
      <c r="S265" s="233"/>
      <c r="T265" s="233"/>
      <c r="U265" s="233"/>
      <c r="V265" s="233"/>
      <c r="W265" s="233"/>
      <c r="X265" s="233"/>
      <c r="Y265" s="233"/>
      <c r="Z265" s="233"/>
      <c r="AA265" s="233"/>
    </row>
    <row r="266" spans="4:27" s="139" customFormat="1">
      <c r="D266" s="191"/>
      <c r="N266" s="233"/>
      <c r="O266" s="233"/>
      <c r="P266" s="233"/>
      <c r="Q266" s="233"/>
      <c r="R266" s="303"/>
      <c r="S266" s="233"/>
      <c r="T266" s="233"/>
      <c r="U266" s="233"/>
      <c r="V266" s="233"/>
      <c r="W266" s="233"/>
      <c r="X266" s="233"/>
      <c r="Y266" s="233"/>
      <c r="Z266" s="233"/>
      <c r="AA266" s="233"/>
    </row>
    <row r="267" spans="4:27" s="139" customFormat="1">
      <c r="D267" s="191"/>
      <c r="N267" s="233"/>
      <c r="O267" s="233"/>
      <c r="P267" s="233"/>
      <c r="Q267" s="233"/>
      <c r="R267" s="303"/>
      <c r="S267" s="233"/>
      <c r="T267" s="233"/>
      <c r="U267" s="233"/>
      <c r="V267" s="233"/>
      <c r="W267" s="233"/>
      <c r="X267" s="233"/>
      <c r="Y267" s="233"/>
      <c r="Z267" s="233"/>
      <c r="AA267" s="233"/>
    </row>
    <row r="268" spans="4:27" s="139" customFormat="1">
      <c r="D268" s="191"/>
      <c r="N268" s="233"/>
      <c r="O268" s="233"/>
      <c r="P268" s="233"/>
      <c r="Q268" s="233"/>
      <c r="R268" s="303"/>
      <c r="S268" s="233"/>
      <c r="T268" s="233"/>
      <c r="U268" s="233"/>
      <c r="V268" s="233"/>
      <c r="W268" s="233"/>
      <c r="X268" s="233"/>
      <c r="Y268" s="233"/>
      <c r="Z268" s="233"/>
      <c r="AA268" s="233"/>
    </row>
    <row r="269" spans="4:27" s="139" customFormat="1">
      <c r="D269" s="191"/>
      <c r="N269" s="233"/>
      <c r="O269" s="233"/>
      <c r="P269" s="233"/>
      <c r="Q269" s="233"/>
      <c r="R269" s="303"/>
      <c r="S269" s="233"/>
      <c r="T269" s="233"/>
      <c r="U269" s="233"/>
      <c r="V269" s="233"/>
      <c r="W269" s="233"/>
      <c r="X269" s="233"/>
      <c r="Y269" s="233"/>
      <c r="Z269" s="233"/>
      <c r="AA269" s="233"/>
    </row>
    <row r="270" spans="4:27" s="139" customFormat="1">
      <c r="D270" s="191"/>
      <c r="N270" s="233"/>
      <c r="O270" s="233"/>
      <c r="P270" s="233"/>
      <c r="Q270" s="233"/>
      <c r="R270" s="303"/>
      <c r="S270" s="233"/>
      <c r="T270" s="233"/>
      <c r="U270" s="233"/>
      <c r="V270" s="233"/>
      <c r="W270" s="233"/>
      <c r="X270" s="233"/>
      <c r="Y270" s="233"/>
      <c r="Z270" s="233"/>
      <c r="AA270" s="233"/>
    </row>
    <row r="271" spans="4:27" s="139" customFormat="1">
      <c r="D271" s="191"/>
      <c r="N271" s="233"/>
      <c r="O271" s="233"/>
      <c r="P271" s="233"/>
      <c r="Q271" s="233"/>
      <c r="R271" s="303"/>
      <c r="S271" s="233"/>
      <c r="T271" s="233"/>
      <c r="U271" s="233"/>
      <c r="V271" s="233"/>
      <c r="W271" s="233"/>
      <c r="X271" s="233"/>
      <c r="Y271" s="233"/>
      <c r="Z271" s="233"/>
      <c r="AA271" s="233"/>
    </row>
    <row r="272" spans="4:27" s="139" customFormat="1">
      <c r="D272" s="191"/>
      <c r="N272" s="233"/>
      <c r="O272" s="233"/>
      <c r="P272" s="233"/>
      <c r="Q272" s="233"/>
      <c r="R272" s="303"/>
      <c r="S272" s="233"/>
      <c r="T272" s="233"/>
      <c r="U272" s="233"/>
      <c r="V272" s="233"/>
      <c r="W272" s="233"/>
      <c r="X272" s="233"/>
      <c r="Y272" s="233"/>
      <c r="Z272" s="233"/>
      <c r="AA272" s="233"/>
    </row>
    <row r="273" spans="4:27" s="139" customFormat="1">
      <c r="D273" s="191"/>
      <c r="N273" s="233"/>
      <c r="O273" s="233"/>
      <c r="P273" s="233"/>
      <c r="Q273" s="233"/>
      <c r="R273" s="303"/>
      <c r="S273" s="233"/>
      <c r="T273" s="233"/>
      <c r="U273" s="233"/>
      <c r="V273" s="233"/>
      <c r="W273" s="233"/>
      <c r="X273" s="233"/>
      <c r="Y273" s="233"/>
      <c r="Z273" s="233"/>
      <c r="AA273" s="233"/>
    </row>
    <row r="274" spans="4:27" s="139" customFormat="1">
      <c r="D274" s="191"/>
      <c r="N274" s="233"/>
      <c r="O274" s="233"/>
      <c r="P274" s="233"/>
      <c r="Q274" s="233"/>
      <c r="R274" s="303"/>
      <c r="S274" s="233"/>
      <c r="T274" s="233"/>
      <c r="U274" s="233"/>
      <c r="V274" s="233"/>
      <c r="W274" s="233"/>
      <c r="X274" s="233"/>
      <c r="Y274" s="233"/>
      <c r="Z274" s="233"/>
      <c r="AA274" s="233"/>
    </row>
    <row r="275" spans="4:27" s="139" customFormat="1">
      <c r="D275" s="191"/>
      <c r="N275" s="233"/>
      <c r="O275" s="233"/>
      <c r="P275" s="233"/>
      <c r="Q275" s="233"/>
      <c r="R275" s="303"/>
      <c r="S275" s="233"/>
      <c r="T275" s="233"/>
      <c r="U275" s="233"/>
      <c r="V275" s="233"/>
      <c r="W275" s="233"/>
      <c r="X275" s="233"/>
      <c r="Y275" s="233"/>
      <c r="Z275" s="233"/>
      <c r="AA275" s="233"/>
    </row>
    <row r="276" spans="4:27" s="139" customFormat="1">
      <c r="D276" s="191"/>
      <c r="N276" s="233"/>
      <c r="O276" s="233"/>
      <c r="P276" s="233"/>
      <c r="Q276" s="233"/>
      <c r="R276" s="303"/>
      <c r="S276" s="233"/>
      <c r="T276" s="233"/>
      <c r="U276" s="233"/>
      <c r="V276" s="233"/>
      <c r="W276" s="233"/>
      <c r="X276" s="233"/>
      <c r="Y276" s="233"/>
      <c r="Z276" s="233"/>
      <c r="AA276" s="233"/>
    </row>
    <row r="277" spans="4:27" s="139" customFormat="1">
      <c r="D277" s="191"/>
      <c r="N277" s="233"/>
      <c r="O277" s="233"/>
      <c r="P277" s="233"/>
      <c r="Q277" s="233"/>
      <c r="R277" s="303"/>
      <c r="S277" s="233"/>
      <c r="T277" s="233"/>
      <c r="U277" s="233"/>
      <c r="V277" s="233"/>
      <c r="W277" s="233"/>
      <c r="X277" s="233"/>
      <c r="Y277" s="233"/>
      <c r="Z277" s="233"/>
      <c r="AA277" s="233"/>
    </row>
    <row r="278" spans="4:27" s="139" customFormat="1">
      <c r="D278" s="191"/>
      <c r="N278" s="233"/>
      <c r="O278" s="233"/>
      <c r="P278" s="233"/>
      <c r="Q278" s="233"/>
      <c r="R278" s="303"/>
      <c r="S278" s="233"/>
      <c r="T278" s="233"/>
      <c r="U278" s="233"/>
      <c r="V278" s="233"/>
      <c r="W278" s="233"/>
      <c r="X278" s="233"/>
      <c r="Y278" s="233"/>
      <c r="Z278" s="233"/>
      <c r="AA278" s="233"/>
    </row>
    <row r="279" spans="4:27" s="139" customFormat="1">
      <c r="D279" s="191"/>
      <c r="N279" s="233"/>
      <c r="O279" s="233"/>
      <c r="P279" s="233"/>
      <c r="Q279" s="233"/>
      <c r="R279" s="303"/>
      <c r="S279" s="233"/>
      <c r="T279" s="233"/>
      <c r="U279" s="233"/>
      <c r="V279" s="233"/>
      <c r="W279" s="233"/>
      <c r="X279" s="233"/>
      <c r="Y279" s="233"/>
      <c r="Z279" s="233"/>
      <c r="AA279" s="233"/>
    </row>
    <row r="280" spans="4:27" s="139" customFormat="1">
      <c r="D280" s="191"/>
      <c r="N280" s="233"/>
      <c r="O280" s="233"/>
      <c r="P280" s="233"/>
      <c r="Q280" s="233"/>
      <c r="R280" s="303"/>
      <c r="S280" s="233"/>
      <c r="T280" s="233"/>
      <c r="U280" s="233"/>
      <c r="V280" s="233"/>
      <c r="W280" s="233"/>
      <c r="X280" s="233"/>
      <c r="Y280" s="233"/>
      <c r="Z280" s="233"/>
      <c r="AA280" s="233"/>
    </row>
    <row r="281" spans="4:27" s="139" customFormat="1">
      <c r="D281" s="191"/>
      <c r="N281" s="233"/>
      <c r="O281" s="233"/>
      <c r="P281" s="233"/>
      <c r="Q281" s="233"/>
      <c r="R281" s="303"/>
      <c r="S281" s="233"/>
      <c r="T281" s="233"/>
      <c r="U281" s="233"/>
      <c r="V281" s="233"/>
      <c r="W281" s="233"/>
      <c r="X281" s="233"/>
      <c r="Y281" s="233"/>
      <c r="Z281" s="233"/>
      <c r="AA281" s="233"/>
    </row>
    <row r="282" spans="4:27" s="139" customFormat="1">
      <c r="D282" s="191"/>
      <c r="N282" s="233"/>
      <c r="O282" s="233"/>
      <c r="P282" s="233"/>
      <c r="Q282" s="233"/>
      <c r="R282" s="303"/>
      <c r="S282" s="233"/>
      <c r="T282" s="233"/>
      <c r="U282" s="233"/>
      <c r="V282" s="233"/>
      <c r="W282" s="233"/>
      <c r="X282" s="233"/>
      <c r="Y282" s="233"/>
      <c r="Z282" s="233"/>
      <c r="AA282" s="233"/>
    </row>
    <row r="283" spans="4:27" s="139" customFormat="1">
      <c r="D283" s="191"/>
      <c r="N283" s="233"/>
      <c r="O283" s="233"/>
      <c r="P283" s="233"/>
      <c r="Q283" s="233"/>
      <c r="R283" s="303"/>
      <c r="S283" s="233"/>
      <c r="T283" s="233"/>
      <c r="U283" s="233"/>
      <c r="V283" s="233"/>
      <c r="W283" s="233"/>
      <c r="X283" s="233"/>
      <c r="Y283" s="233"/>
      <c r="Z283" s="233"/>
      <c r="AA283" s="233"/>
    </row>
    <row r="284" spans="4:27" s="139" customFormat="1">
      <c r="D284" s="191"/>
      <c r="N284" s="233"/>
      <c r="O284" s="233"/>
      <c r="P284" s="233"/>
      <c r="Q284" s="233"/>
      <c r="R284" s="303"/>
      <c r="S284" s="233"/>
      <c r="T284" s="233"/>
      <c r="U284" s="233"/>
      <c r="V284" s="233"/>
      <c r="W284" s="233"/>
      <c r="X284" s="233"/>
      <c r="Y284" s="233"/>
      <c r="Z284" s="233"/>
      <c r="AA284" s="233"/>
    </row>
    <row r="285" spans="4:27" s="139" customFormat="1">
      <c r="D285" s="191"/>
      <c r="N285" s="233"/>
      <c r="O285" s="233"/>
      <c r="P285" s="233"/>
      <c r="Q285" s="233"/>
      <c r="R285" s="303"/>
      <c r="S285" s="233"/>
      <c r="T285" s="233"/>
      <c r="U285" s="233"/>
      <c r="V285" s="233"/>
      <c r="W285" s="233"/>
      <c r="X285" s="233"/>
      <c r="Y285" s="233"/>
      <c r="Z285" s="233"/>
      <c r="AA285" s="233"/>
    </row>
    <row r="286" spans="4:27" s="139" customFormat="1">
      <c r="D286" s="191"/>
      <c r="N286" s="233"/>
      <c r="O286" s="233"/>
      <c r="P286" s="233"/>
      <c r="Q286" s="233"/>
      <c r="R286" s="303"/>
      <c r="S286" s="233"/>
      <c r="T286" s="233"/>
      <c r="U286" s="233"/>
      <c r="V286" s="233"/>
      <c r="W286" s="233"/>
      <c r="X286" s="233"/>
      <c r="Y286" s="233"/>
      <c r="Z286" s="233"/>
      <c r="AA286" s="233"/>
    </row>
    <row r="287" spans="4:27" s="139" customFormat="1">
      <c r="D287" s="191"/>
      <c r="N287" s="233"/>
      <c r="O287" s="233"/>
      <c r="P287" s="233"/>
      <c r="Q287" s="233"/>
      <c r="R287" s="303"/>
      <c r="S287" s="233"/>
      <c r="T287" s="233"/>
      <c r="U287" s="233"/>
      <c r="V287" s="233"/>
      <c r="W287" s="233"/>
      <c r="X287" s="233"/>
      <c r="Y287" s="233"/>
      <c r="Z287" s="233"/>
      <c r="AA287" s="233"/>
    </row>
    <row r="288" spans="4:27" s="139" customFormat="1">
      <c r="D288" s="191"/>
      <c r="N288" s="233"/>
      <c r="O288" s="233"/>
      <c r="P288" s="233"/>
      <c r="Q288" s="233"/>
      <c r="R288" s="303"/>
      <c r="S288" s="233"/>
      <c r="T288" s="233"/>
      <c r="U288" s="233"/>
      <c r="V288" s="233"/>
      <c r="W288" s="233"/>
      <c r="X288" s="233"/>
      <c r="Y288" s="233"/>
      <c r="Z288" s="233"/>
      <c r="AA288" s="233"/>
    </row>
    <row r="289" spans="4:27" s="139" customFormat="1">
      <c r="D289" s="191"/>
      <c r="N289" s="233"/>
      <c r="O289" s="233"/>
      <c r="P289" s="233"/>
      <c r="Q289" s="233"/>
      <c r="R289" s="303"/>
      <c r="S289" s="233"/>
      <c r="T289" s="233"/>
      <c r="U289" s="233"/>
      <c r="V289" s="233"/>
      <c r="W289" s="233"/>
      <c r="X289" s="233"/>
      <c r="Y289" s="233"/>
      <c r="Z289" s="233"/>
      <c r="AA289" s="233"/>
    </row>
    <row r="290" spans="4:27" s="139" customFormat="1">
      <c r="D290" s="191"/>
      <c r="N290" s="233"/>
      <c r="O290" s="233"/>
      <c r="P290" s="233"/>
      <c r="Q290" s="233"/>
      <c r="R290" s="303"/>
      <c r="S290" s="233"/>
      <c r="T290" s="233"/>
      <c r="U290" s="233"/>
      <c r="V290" s="233"/>
      <c r="W290" s="233"/>
      <c r="X290" s="233"/>
      <c r="Y290" s="233"/>
      <c r="Z290" s="233"/>
      <c r="AA290" s="233"/>
    </row>
    <row r="291" spans="4:27" s="139" customFormat="1">
      <c r="D291" s="191"/>
      <c r="N291" s="233"/>
      <c r="O291" s="233"/>
      <c r="P291" s="233"/>
      <c r="Q291" s="233"/>
      <c r="R291" s="303"/>
      <c r="S291" s="233"/>
      <c r="T291" s="233"/>
      <c r="U291" s="233"/>
      <c r="V291" s="233"/>
      <c r="W291" s="233"/>
      <c r="X291" s="233"/>
      <c r="Y291" s="233"/>
      <c r="Z291" s="233"/>
      <c r="AA291" s="233"/>
    </row>
    <row r="292" spans="4:27" s="139" customFormat="1">
      <c r="D292" s="191"/>
      <c r="N292" s="233"/>
      <c r="O292" s="233"/>
      <c r="P292" s="233"/>
      <c r="Q292" s="233"/>
      <c r="R292" s="303"/>
      <c r="S292" s="233"/>
      <c r="T292" s="233"/>
      <c r="U292" s="233"/>
      <c r="V292" s="233"/>
      <c r="W292" s="233"/>
      <c r="X292" s="233"/>
      <c r="Y292" s="233"/>
      <c r="Z292" s="233"/>
      <c r="AA292" s="233"/>
    </row>
    <row r="293" spans="4:27" s="139" customFormat="1">
      <c r="D293" s="191"/>
      <c r="N293" s="233"/>
      <c r="O293" s="233"/>
      <c r="P293" s="233"/>
      <c r="Q293" s="233"/>
      <c r="R293" s="303"/>
      <c r="S293" s="233"/>
      <c r="T293" s="233"/>
      <c r="U293" s="233"/>
      <c r="V293" s="233"/>
      <c r="W293" s="233"/>
      <c r="X293" s="233"/>
      <c r="Y293" s="233"/>
      <c r="Z293" s="233"/>
      <c r="AA293" s="233"/>
    </row>
    <row r="294" spans="4:27" s="139" customFormat="1">
      <c r="D294" s="191"/>
      <c r="N294" s="233"/>
      <c r="O294" s="233"/>
      <c r="P294" s="233"/>
      <c r="Q294" s="233"/>
      <c r="R294" s="303"/>
      <c r="S294" s="233"/>
      <c r="T294" s="233"/>
      <c r="U294" s="233"/>
      <c r="V294" s="233"/>
      <c r="W294" s="233"/>
      <c r="X294" s="233"/>
      <c r="Y294" s="233"/>
      <c r="Z294" s="233"/>
      <c r="AA294" s="233"/>
    </row>
    <row r="295" spans="4:27" s="139" customFormat="1">
      <c r="D295" s="191"/>
      <c r="N295" s="233"/>
      <c r="O295" s="233"/>
      <c r="P295" s="233"/>
      <c r="Q295" s="233"/>
      <c r="R295" s="303"/>
      <c r="S295" s="233"/>
      <c r="T295" s="233"/>
      <c r="U295" s="233"/>
      <c r="V295" s="233"/>
      <c r="W295" s="233"/>
      <c r="X295" s="233"/>
      <c r="Y295" s="233"/>
      <c r="Z295" s="233"/>
      <c r="AA295" s="233"/>
    </row>
    <row r="296" spans="4:27" s="139" customFormat="1">
      <c r="D296" s="191"/>
      <c r="N296" s="233"/>
      <c r="O296" s="233"/>
      <c r="P296" s="233"/>
      <c r="Q296" s="233"/>
      <c r="R296" s="303"/>
      <c r="S296" s="233"/>
      <c r="T296" s="233"/>
      <c r="U296" s="233"/>
      <c r="V296" s="233"/>
      <c r="W296" s="233"/>
      <c r="X296" s="233"/>
      <c r="Y296" s="233"/>
      <c r="Z296" s="233"/>
      <c r="AA296" s="233"/>
    </row>
    <row r="297" spans="4:27" s="139" customFormat="1">
      <c r="D297" s="191"/>
      <c r="N297" s="233"/>
      <c r="O297" s="233"/>
      <c r="P297" s="233"/>
      <c r="Q297" s="233"/>
      <c r="R297" s="303"/>
      <c r="S297" s="233"/>
      <c r="T297" s="233"/>
      <c r="U297" s="233"/>
      <c r="V297" s="233"/>
      <c r="W297" s="233"/>
      <c r="X297" s="233"/>
      <c r="Y297" s="233"/>
      <c r="Z297" s="233"/>
      <c r="AA297" s="233"/>
    </row>
    <row r="298" spans="4:27" s="139" customFormat="1">
      <c r="D298" s="191"/>
      <c r="N298" s="233"/>
      <c r="O298" s="233"/>
      <c r="P298" s="233"/>
      <c r="Q298" s="233"/>
      <c r="R298" s="303"/>
      <c r="S298" s="233"/>
      <c r="T298" s="233"/>
      <c r="U298" s="233"/>
      <c r="V298" s="233"/>
      <c r="W298" s="233"/>
      <c r="X298" s="233"/>
      <c r="Y298" s="233"/>
      <c r="Z298" s="233"/>
      <c r="AA298" s="233"/>
    </row>
    <row r="299" spans="4:27" s="139" customFormat="1">
      <c r="D299" s="191"/>
      <c r="N299" s="233"/>
      <c r="O299" s="233"/>
      <c r="P299" s="233"/>
      <c r="Q299" s="233"/>
      <c r="R299" s="303"/>
      <c r="S299" s="233"/>
      <c r="T299" s="233"/>
      <c r="U299" s="233"/>
      <c r="V299" s="233"/>
      <c r="W299" s="233"/>
      <c r="X299" s="233"/>
      <c r="Y299" s="233"/>
      <c r="Z299" s="233"/>
      <c r="AA299" s="233"/>
    </row>
    <row r="300" spans="4:27" s="139" customFormat="1">
      <c r="D300" s="191"/>
      <c r="N300" s="233"/>
      <c r="O300" s="233"/>
      <c r="P300" s="233"/>
      <c r="Q300" s="233"/>
      <c r="R300" s="303"/>
      <c r="S300" s="233"/>
      <c r="T300" s="233"/>
      <c r="U300" s="233"/>
      <c r="V300" s="233"/>
      <c r="W300" s="233"/>
      <c r="X300" s="233"/>
      <c r="Y300" s="233"/>
      <c r="Z300" s="233"/>
      <c r="AA300" s="233"/>
    </row>
    <row r="301" spans="4:27" s="139" customFormat="1">
      <c r="D301" s="191"/>
      <c r="N301" s="233"/>
      <c r="O301" s="233"/>
      <c r="P301" s="233"/>
      <c r="Q301" s="233"/>
      <c r="R301" s="303"/>
      <c r="S301" s="233"/>
      <c r="T301" s="233"/>
      <c r="U301" s="233"/>
      <c r="V301" s="233"/>
      <c r="W301" s="233"/>
      <c r="X301" s="233"/>
      <c r="Y301" s="233"/>
      <c r="Z301" s="233"/>
      <c r="AA301" s="233"/>
    </row>
    <row r="302" spans="4:27" s="139" customFormat="1">
      <c r="D302" s="191"/>
      <c r="N302" s="233"/>
      <c r="O302" s="233"/>
      <c r="P302" s="233"/>
      <c r="Q302" s="233"/>
      <c r="R302" s="303"/>
      <c r="S302" s="233"/>
      <c r="T302" s="233"/>
      <c r="U302" s="233"/>
      <c r="V302" s="233"/>
      <c r="W302" s="233"/>
      <c r="X302" s="233"/>
      <c r="Y302" s="233"/>
      <c r="Z302" s="233"/>
      <c r="AA302" s="233"/>
    </row>
    <row r="303" spans="4:27" s="139" customFormat="1">
      <c r="D303" s="191"/>
      <c r="N303" s="233"/>
      <c r="O303" s="233"/>
      <c r="P303" s="233"/>
      <c r="Q303" s="233"/>
      <c r="R303" s="303"/>
      <c r="S303" s="233"/>
      <c r="T303" s="233"/>
      <c r="U303" s="233"/>
      <c r="V303" s="233"/>
      <c r="W303" s="233"/>
      <c r="X303" s="233"/>
      <c r="Y303" s="233"/>
      <c r="Z303" s="233"/>
      <c r="AA303" s="233"/>
    </row>
    <row r="304" spans="4:27" s="139" customFormat="1">
      <c r="D304" s="191"/>
      <c r="N304" s="233"/>
      <c r="O304" s="233"/>
      <c r="P304" s="233"/>
      <c r="Q304" s="233"/>
      <c r="R304" s="303"/>
      <c r="S304" s="233"/>
      <c r="T304" s="233"/>
      <c r="U304" s="233"/>
      <c r="V304" s="233"/>
      <c r="W304" s="233"/>
      <c r="X304" s="233"/>
      <c r="Y304" s="233"/>
      <c r="Z304" s="233"/>
      <c r="AA304" s="233"/>
    </row>
    <row r="305" spans="4:27" s="139" customFormat="1">
      <c r="D305" s="191"/>
      <c r="N305" s="233"/>
      <c r="O305" s="233"/>
      <c r="P305" s="233"/>
      <c r="Q305" s="233"/>
      <c r="R305" s="303"/>
      <c r="S305" s="233"/>
      <c r="T305" s="233"/>
      <c r="U305" s="233"/>
      <c r="V305" s="233"/>
      <c r="W305" s="233"/>
      <c r="X305" s="233"/>
      <c r="Y305" s="233"/>
      <c r="Z305" s="233"/>
      <c r="AA305" s="233"/>
    </row>
    <row r="306" spans="4:27" s="139" customFormat="1">
      <c r="D306" s="191"/>
      <c r="N306" s="233"/>
      <c r="O306" s="233"/>
      <c r="P306" s="233"/>
      <c r="Q306" s="233"/>
      <c r="R306" s="303"/>
      <c r="S306" s="233"/>
      <c r="T306" s="233"/>
      <c r="U306" s="233"/>
      <c r="V306" s="233"/>
      <c r="W306" s="233"/>
      <c r="X306" s="233"/>
      <c r="Y306" s="233"/>
      <c r="Z306" s="233"/>
      <c r="AA306" s="233"/>
    </row>
    <row r="307" spans="4:27" s="139" customFormat="1">
      <c r="D307" s="191"/>
      <c r="N307" s="233"/>
      <c r="O307" s="233"/>
      <c r="P307" s="233"/>
      <c r="Q307" s="233"/>
      <c r="R307" s="303"/>
      <c r="S307" s="233"/>
      <c r="T307" s="233"/>
      <c r="U307" s="233"/>
      <c r="V307" s="233"/>
      <c r="W307" s="233"/>
      <c r="X307" s="233"/>
      <c r="Y307" s="233"/>
      <c r="Z307" s="233"/>
      <c r="AA307" s="233"/>
    </row>
    <row r="308" spans="4:27" s="139" customFormat="1">
      <c r="D308" s="191"/>
      <c r="N308" s="233"/>
      <c r="O308" s="233"/>
      <c r="P308" s="233"/>
      <c r="Q308" s="233"/>
      <c r="R308" s="303"/>
      <c r="S308" s="233"/>
      <c r="T308" s="233"/>
      <c r="U308" s="233"/>
      <c r="V308" s="233"/>
      <c r="W308" s="233"/>
      <c r="X308" s="233"/>
      <c r="Y308" s="233"/>
      <c r="Z308" s="233"/>
      <c r="AA308" s="233"/>
    </row>
    <row r="309" spans="4:27" s="139" customFormat="1">
      <c r="D309" s="191"/>
      <c r="N309" s="233"/>
      <c r="O309" s="233"/>
      <c r="P309" s="233"/>
      <c r="Q309" s="233"/>
      <c r="R309" s="303"/>
      <c r="S309" s="233"/>
      <c r="T309" s="233"/>
      <c r="U309" s="233"/>
      <c r="V309" s="233"/>
      <c r="W309" s="233"/>
      <c r="X309" s="233"/>
      <c r="Y309" s="233"/>
      <c r="Z309" s="233"/>
      <c r="AA309" s="233"/>
    </row>
    <row r="310" spans="4:27" s="139" customFormat="1">
      <c r="D310" s="191"/>
      <c r="N310" s="233"/>
      <c r="O310" s="233"/>
      <c r="P310" s="233"/>
      <c r="Q310" s="233"/>
      <c r="R310" s="303"/>
      <c r="S310" s="233"/>
      <c r="T310" s="233"/>
      <c r="U310" s="233"/>
      <c r="V310" s="233"/>
      <c r="W310" s="233"/>
      <c r="X310" s="233"/>
      <c r="Y310" s="233"/>
      <c r="Z310" s="233"/>
      <c r="AA310" s="233"/>
    </row>
    <row r="311" spans="4:27" s="139" customFormat="1">
      <c r="D311" s="191"/>
      <c r="N311" s="233"/>
      <c r="O311" s="233"/>
      <c r="P311" s="233"/>
      <c r="Q311" s="233"/>
      <c r="R311" s="303"/>
      <c r="S311" s="233"/>
      <c r="T311" s="233"/>
      <c r="U311" s="233"/>
      <c r="V311" s="233"/>
      <c r="W311" s="233"/>
      <c r="X311" s="233"/>
      <c r="Y311" s="233"/>
      <c r="Z311" s="233"/>
      <c r="AA311" s="233"/>
    </row>
    <row r="312" spans="4:27" s="139" customFormat="1">
      <c r="D312" s="191"/>
      <c r="N312" s="233"/>
      <c r="O312" s="233"/>
      <c r="P312" s="233"/>
      <c r="Q312" s="233"/>
      <c r="R312" s="303"/>
      <c r="S312" s="233"/>
      <c r="T312" s="233"/>
      <c r="U312" s="233"/>
      <c r="V312" s="233"/>
      <c r="W312" s="233"/>
      <c r="X312" s="233"/>
      <c r="Y312" s="233"/>
      <c r="Z312" s="233"/>
      <c r="AA312" s="233"/>
    </row>
    <row r="313" spans="4:27" s="139" customFormat="1">
      <c r="D313" s="191"/>
      <c r="N313" s="233"/>
      <c r="O313" s="233"/>
      <c r="P313" s="233"/>
      <c r="Q313" s="233"/>
      <c r="R313" s="303"/>
      <c r="S313" s="233"/>
      <c r="T313" s="233"/>
      <c r="U313" s="233"/>
      <c r="V313" s="233"/>
      <c r="W313" s="233"/>
      <c r="X313" s="233"/>
      <c r="Y313" s="233"/>
      <c r="Z313" s="233"/>
      <c r="AA313" s="233"/>
    </row>
    <row r="314" spans="4:27" s="139" customFormat="1">
      <c r="D314" s="191"/>
      <c r="N314" s="233"/>
      <c r="O314" s="233"/>
      <c r="P314" s="233"/>
      <c r="Q314" s="233"/>
      <c r="R314" s="303"/>
      <c r="S314" s="233"/>
      <c r="T314" s="233"/>
      <c r="U314" s="233"/>
      <c r="V314" s="233"/>
      <c r="W314" s="233"/>
      <c r="X314" s="233"/>
      <c r="Y314" s="233"/>
      <c r="Z314" s="233"/>
      <c r="AA314" s="233"/>
    </row>
    <row r="315" spans="4:27" s="139" customFormat="1">
      <c r="D315" s="191"/>
      <c r="N315" s="233"/>
      <c r="O315" s="233"/>
      <c r="P315" s="233"/>
      <c r="Q315" s="233"/>
      <c r="R315" s="303"/>
      <c r="S315" s="233"/>
      <c r="T315" s="233"/>
      <c r="U315" s="233"/>
      <c r="V315" s="233"/>
      <c r="W315" s="233"/>
      <c r="X315" s="233"/>
      <c r="Y315" s="233"/>
      <c r="Z315" s="233"/>
      <c r="AA315" s="233"/>
    </row>
    <row r="316" spans="4:27" s="139" customFormat="1">
      <c r="D316" s="191"/>
      <c r="N316" s="233"/>
      <c r="O316" s="233"/>
      <c r="P316" s="233"/>
      <c r="Q316" s="233"/>
      <c r="R316" s="303"/>
      <c r="S316" s="233"/>
      <c r="T316" s="233"/>
      <c r="U316" s="233"/>
      <c r="V316" s="233"/>
      <c r="W316" s="233"/>
      <c r="X316" s="233"/>
      <c r="Y316" s="233"/>
      <c r="Z316" s="233"/>
      <c r="AA316" s="233"/>
    </row>
    <row r="317" spans="4:27" s="139" customFormat="1">
      <c r="D317" s="191"/>
      <c r="N317" s="233"/>
      <c r="O317" s="233"/>
      <c r="P317" s="233"/>
      <c r="Q317" s="233"/>
      <c r="R317" s="303"/>
      <c r="S317" s="233"/>
      <c r="T317" s="233"/>
      <c r="U317" s="233"/>
      <c r="V317" s="233"/>
      <c r="W317" s="233"/>
      <c r="X317" s="233"/>
      <c r="Y317" s="233"/>
      <c r="Z317" s="233"/>
      <c r="AA317" s="233"/>
    </row>
    <row r="318" spans="4:27" s="139" customFormat="1">
      <c r="D318" s="191"/>
      <c r="N318" s="233"/>
      <c r="O318" s="233"/>
      <c r="P318" s="233"/>
      <c r="Q318" s="233"/>
      <c r="R318" s="303"/>
      <c r="S318" s="233"/>
      <c r="T318" s="233"/>
      <c r="U318" s="233"/>
      <c r="V318" s="233"/>
      <c r="W318" s="233"/>
      <c r="X318" s="233"/>
      <c r="Y318" s="233"/>
      <c r="Z318" s="233"/>
      <c r="AA318" s="233"/>
    </row>
    <row r="319" spans="4:27" s="139" customFormat="1">
      <c r="D319" s="191"/>
      <c r="N319" s="233"/>
      <c r="O319" s="233"/>
      <c r="P319" s="233"/>
      <c r="Q319" s="233"/>
      <c r="R319" s="303"/>
      <c r="S319" s="233"/>
      <c r="T319" s="233"/>
      <c r="U319" s="233"/>
      <c r="V319" s="233"/>
      <c r="W319" s="233"/>
      <c r="X319" s="233"/>
      <c r="Y319" s="233"/>
      <c r="Z319" s="233"/>
      <c r="AA319" s="233"/>
    </row>
    <row r="320" spans="4:27" s="139" customFormat="1">
      <c r="D320" s="191"/>
      <c r="N320" s="233"/>
      <c r="O320" s="233"/>
      <c r="P320" s="233"/>
      <c r="Q320" s="233"/>
      <c r="R320" s="303"/>
      <c r="S320" s="233"/>
      <c r="T320" s="233"/>
      <c r="U320" s="233"/>
      <c r="V320" s="233"/>
      <c r="W320" s="233"/>
      <c r="X320" s="233"/>
      <c r="Y320" s="233"/>
      <c r="Z320" s="233"/>
      <c r="AA320" s="233"/>
    </row>
    <row r="321" spans="4:27" s="139" customFormat="1">
      <c r="D321" s="191"/>
      <c r="N321" s="233"/>
      <c r="O321" s="233"/>
      <c r="P321" s="233"/>
      <c r="Q321" s="233"/>
      <c r="R321" s="303"/>
      <c r="S321" s="233"/>
      <c r="T321" s="233"/>
      <c r="U321" s="233"/>
      <c r="V321" s="233"/>
      <c r="W321" s="233"/>
      <c r="X321" s="233"/>
      <c r="Y321" s="233"/>
      <c r="Z321" s="233"/>
      <c r="AA321" s="233"/>
    </row>
    <row r="322" spans="4:27" s="139" customFormat="1">
      <c r="D322" s="191"/>
      <c r="N322" s="233"/>
      <c r="O322" s="233"/>
      <c r="P322" s="233"/>
      <c r="Q322" s="233"/>
      <c r="R322" s="303"/>
      <c r="S322" s="233"/>
      <c r="T322" s="233"/>
      <c r="U322" s="233"/>
      <c r="V322" s="233"/>
      <c r="W322" s="233"/>
      <c r="X322" s="233"/>
      <c r="Y322" s="233"/>
      <c r="Z322" s="233"/>
      <c r="AA322" s="233"/>
    </row>
    <row r="323" spans="4:27" s="139" customFormat="1">
      <c r="D323" s="191"/>
      <c r="N323" s="233"/>
      <c r="O323" s="233"/>
      <c r="P323" s="233"/>
      <c r="Q323" s="233"/>
      <c r="R323" s="303"/>
      <c r="S323" s="233"/>
      <c r="T323" s="233"/>
      <c r="U323" s="233"/>
      <c r="V323" s="233"/>
      <c r="W323" s="233"/>
      <c r="X323" s="233"/>
      <c r="Y323" s="233"/>
      <c r="Z323" s="233"/>
      <c r="AA323" s="233"/>
    </row>
    <row r="324" spans="4:27" s="139" customFormat="1">
      <c r="D324" s="191"/>
      <c r="N324" s="233"/>
      <c r="O324" s="233"/>
      <c r="P324" s="233"/>
      <c r="Q324" s="233"/>
      <c r="R324" s="303"/>
      <c r="S324" s="233"/>
      <c r="T324" s="233"/>
      <c r="U324" s="233"/>
      <c r="V324" s="233"/>
      <c r="W324" s="233"/>
      <c r="X324" s="233"/>
      <c r="Y324" s="233"/>
      <c r="Z324" s="233"/>
      <c r="AA324" s="233"/>
    </row>
    <row r="325" spans="4:27" s="139" customFormat="1">
      <c r="D325" s="191"/>
      <c r="N325" s="233"/>
      <c r="O325" s="233"/>
      <c r="P325" s="233"/>
      <c r="Q325" s="233"/>
      <c r="R325" s="303"/>
      <c r="S325" s="233"/>
      <c r="T325" s="233"/>
      <c r="U325" s="233"/>
      <c r="V325" s="233"/>
      <c r="W325" s="233"/>
      <c r="X325" s="233"/>
      <c r="Y325" s="233"/>
      <c r="Z325" s="233"/>
      <c r="AA325" s="233"/>
    </row>
    <row r="326" spans="4:27" s="139" customFormat="1">
      <c r="D326" s="191"/>
      <c r="N326" s="233"/>
      <c r="O326" s="233"/>
      <c r="P326" s="233"/>
      <c r="Q326" s="233"/>
      <c r="R326" s="303"/>
      <c r="S326" s="233"/>
      <c r="T326" s="233"/>
      <c r="U326" s="233"/>
      <c r="V326" s="233"/>
      <c r="W326" s="233"/>
      <c r="X326" s="233"/>
      <c r="Y326" s="233"/>
      <c r="Z326" s="233"/>
      <c r="AA326" s="233"/>
    </row>
    <row r="327" spans="4:27" s="139" customFormat="1">
      <c r="D327" s="191"/>
      <c r="N327" s="233"/>
      <c r="O327" s="233"/>
      <c r="P327" s="233"/>
      <c r="Q327" s="233"/>
      <c r="R327" s="303"/>
      <c r="S327" s="233"/>
      <c r="T327" s="233"/>
      <c r="U327" s="233"/>
      <c r="V327" s="233"/>
      <c r="W327" s="233"/>
      <c r="X327" s="233"/>
      <c r="Y327" s="233"/>
      <c r="Z327" s="233"/>
      <c r="AA327" s="233"/>
    </row>
    <row r="328" spans="4:27" s="139" customFormat="1">
      <c r="D328" s="191"/>
      <c r="N328" s="233"/>
      <c r="O328" s="233"/>
      <c r="P328" s="233"/>
      <c r="Q328" s="233"/>
      <c r="R328" s="303"/>
      <c r="S328" s="233"/>
      <c r="T328" s="233"/>
      <c r="U328" s="233"/>
      <c r="V328" s="233"/>
      <c r="W328" s="233"/>
      <c r="X328" s="233"/>
      <c r="Y328" s="233"/>
      <c r="Z328" s="233"/>
      <c r="AA328" s="233"/>
    </row>
    <row r="329" spans="4:27" s="139" customFormat="1">
      <c r="D329" s="191"/>
      <c r="N329" s="233"/>
      <c r="O329" s="233"/>
      <c r="P329" s="233"/>
      <c r="Q329" s="233"/>
      <c r="R329" s="303"/>
      <c r="S329" s="233"/>
      <c r="T329" s="233"/>
      <c r="U329" s="233"/>
      <c r="V329" s="233"/>
      <c r="W329" s="233"/>
      <c r="X329" s="233"/>
      <c r="Y329" s="233"/>
      <c r="Z329" s="233"/>
      <c r="AA329" s="233"/>
    </row>
    <row r="330" spans="4:27" s="139" customFormat="1">
      <c r="D330" s="191"/>
      <c r="N330" s="233"/>
      <c r="O330" s="233"/>
      <c r="P330" s="233"/>
      <c r="Q330" s="233"/>
      <c r="R330" s="303"/>
      <c r="S330" s="233"/>
      <c r="T330" s="233"/>
      <c r="U330" s="233"/>
      <c r="V330" s="233"/>
      <c r="W330" s="233"/>
      <c r="X330" s="233"/>
      <c r="Y330" s="233"/>
      <c r="Z330" s="233"/>
      <c r="AA330" s="233"/>
    </row>
    <row r="331" spans="4:27" s="139" customFormat="1">
      <c r="D331" s="191"/>
      <c r="N331" s="233"/>
      <c r="O331" s="233"/>
      <c r="P331" s="233"/>
      <c r="Q331" s="233"/>
      <c r="R331" s="303"/>
      <c r="S331" s="233"/>
      <c r="T331" s="233"/>
      <c r="U331" s="233"/>
      <c r="V331" s="233"/>
      <c r="W331" s="233"/>
      <c r="X331" s="233"/>
      <c r="Y331" s="233"/>
      <c r="Z331" s="233"/>
      <c r="AA331" s="233"/>
    </row>
    <row r="332" spans="4:27" s="139" customFormat="1">
      <c r="D332" s="191"/>
      <c r="N332" s="233"/>
      <c r="O332" s="233"/>
      <c r="P332" s="233"/>
      <c r="Q332" s="233"/>
      <c r="R332" s="303"/>
      <c r="S332" s="233"/>
      <c r="T332" s="233"/>
      <c r="U332" s="233"/>
      <c r="V332" s="233"/>
      <c r="W332" s="233"/>
      <c r="X332" s="233"/>
      <c r="Y332" s="233"/>
      <c r="Z332" s="233"/>
      <c r="AA332" s="233"/>
    </row>
    <row r="333" spans="4:27" s="139" customFormat="1">
      <c r="D333" s="191"/>
      <c r="N333" s="233"/>
      <c r="O333" s="233"/>
      <c r="P333" s="233"/>
      <c r="Q333" s="233"/>
      <c r="R333" s="303"/>
      <c r="S333" s="233"/>
      <c r="T333" s="233"/>
      <c r="U333" s="233"/>
      <c r="V333" s="233"/>
      <c r="W333" s="233"/>
      <c r="X333" s="233"/>
      <c r="Y333" s="233"/>
      <c r="Z333" s="233"/>
      <c r="AA333" s="233"/>
    </row>
    <row r="334" spans="4:27" s="139" customFormat="1">
      <c r="D334" s="191"/>
      <c r="N334" s="233"/>
      <c r="O334" s="233"/>
      <c r="P334" s="233"/>
      <c r="Q334" s="233"/>
      <c r="R334" s="303"/>
      <c r="S334" s="233"/>
      <c r="T334" s="233"/>
      <c r="U334" s="233"/>
      <c r="V334" s="233"/>
      <c r="W334" s="233"/>
      <c r="X334" s="233"/>
      <c r="Y334" s="233"/>
      <c r="Z334" s="233"/>
      <c r="AA334" s="233"/>
    </row>
    <row r="335" spans="4:27" s="139" customFormat="1">
      <c r="D335" s="191"/>
      <c r="N335" s="233"/>
      <c r="O335" s="233"/>
      <c r="P335" s="233"/>
      <c r="Q335" s="233"/>
      <c r="R335" s="303"/>
      <c r="S335" s="233"/>
      <c r="T335" s="233"/>
      <c r="U335" s="233"/>
      <c r="V335" s="233"/>
      <c r="W335" s="233"/>
      <c r="X335" s="233"/>
      <c r="Y335" s="233"/>
      <c r="Z335" s="233"/>
      <c r="AA335" s="233"/>
    </row>
    <row r="336" spans="4:27" s="139" customFormat="1">
      <c r="D336" s="191"/>
      <c r="N336" s="233"/>
      <c r="O336" s="233"/>
      <c r="P336" s="233"/>
      <c r="Q336" s="233"/>
      <c r="R336" s="303"/>
      <c r="S336" s="233"/>
      <c r="T336" s="233"/>
      <c r="U336" s="233"/>
      <c r="V336" s="233"/>
      <c r="W336" s="233"/>
      <c r="X336" s="233"/>
      <c r="Y336" s="233"/>
      <c r="Z336" s="233"/>
      <c r="AA336" s="233"/>
    </row>
    <row r="337" spans="4:27" s="139" customFormat="1">
      <c r="D337" s="191"/>
      <c r="N337" s="233"/>
      <c r="O337" s="233"/>
      <c r="P337" s="233"/>
      <c r="Q337" s="233"/>
      <c r="R337" s="303"/>
      <c r="S337" s="233"/>
      <c r="T337" s="233"/>
      <c r="U337" s="233"/>
      <c r="V337" s="233"/>
      <c r="W337" s="233"/>
      <c r="X337" s="233"/>
      <c r="Y337" s="233"/>
      <c r="Z337" s="233"/>
      <c r="AA337" s="233"/>
    </row>
    <row r="338" spans="4:27" s="139" customFormat="1">
      <c r="D338" s="191"/>
      <c r="N338" s="233"/>
      <c r="O338" s="233"/>
      <c r="P338" s="233"/>
      <c r="Q338" s="233"/>
      <c r="R338" s="303"/>
      <c r="S338" s="233"/>
      <c r="T338" s="233"/>
      <c r="U338" s="233"/>
      <c r="V338" s="233"/>
      <c r="W338" s="233"/>
      <c r="X338" s="233"/>
      <c r="Y338" s="233"/>
      <c r="Z338" s="233"/>
      <c r="AA338" s="233"/>
    </row>
    <row r="339" spans="4:27" s="139" customFormat="1">
      <c r="D339" s="191"/>
      <c r="N339" s="233"/>
      <c r="O339" s="233"/>
      <c r="P339" s="233"/>
      <c r="Q339" s="233"/>
      <c r="R339" s="303"/>
      <c r="S339" s="233"/>
      <c r="T339" s="233"/>
      <c r="U339" s="233"/>
      <c r="V339" s="233"/>
      <c r="W339" s="233"/>
      <c r="X339" s="233"/>
      <c r="Y339" s="233"/>
      <c r="Z339" s="233"/>
      <c r="AA339" s="233"/>
    </row>
    <row r="340" spans="4:27" s="139" customFormat="1">
      <c r="D340" s="191"/>
      <c r="N340" s="233"/>
      <c r="O340" s="233"/>
      <c r="P340" s="233"/>
      <c r="Q340" s="233"/>
      <c r="R340" s="303"/>
      <c r="S340" s="233"/>
      <c r="T340" s="233"/>
      <c r="U340" s="233"/>
      <c r="V340" s="233"/>
      <c r="W340" s="233"/>
      <c r="X340" s="233"/>
      <c r="Y340" s="233"/>
      <c r="Z340" s="233"/>
      <c r="AA340" s="233"/>
    </row>
    <row r="341" spans="4:27" s="139" customFormat="1">
      <c r="D341" s="191"/>
      <c r="N341" s="233"/>
      <c r="O341" s="233"/>
      <c r="P341" s="233"/>
      <c r="Q341" s="233"/>
      <c r="R341" s="303"/>
      <c r="S341" s="233"/>
      <c r="T341" s="233"/>
      <c r="U341" s="233"/>
      <c r="V341" s="233"/>
      <c r="W341" s="233"/>
      <c r="X341" s="233"/>
      <c r="Y341" s="233"/>
      <c r="Z341" s="233"/>
      <c r="AA341" s="233"/>
    </row>
    <row r="342" spans="4:27" s="139" customFormat="1">
      <c r="D342" s="191"/>
      <c r="N342" s="233"/>
      <c r="O342" s="233"/>
      <c r="P342" s="233"/>
      <c r="Q342" s="233"/>
      <c r="R342" s="303"/>
      <c r="S342" s="233"/>
      <c r="T342" s="233"/>
      <c r="U342" s="233"/>
      <c r="V342" s="233"/>
      <c r="W342" s="233"/>
      <c r="X342" s="233"/>
      <c r="Y342" s="233"/>
      <c r="Z342" s="233"/>
      <c r="AA342" s="233"/>
    </row>
    <row r="343" spans="4:27" s="139" customFormat="1">
      <c r="D343" s="191"/>
      <c r="N343" s="233"/>
      <c r="O343" s="233"/>
      <c r="P343" s="233"/>
      <c r="Q343" s="233"/>
      <c r="R343" s="303"/>
      <c r="S343" s="233"/>
      <c r="T343" s="233"/>
      <c r="U343" s="233"/>
      <c r="V343" s="233"/>
      <c r="W343" s="233"/>
      <c r="X343" s="233"/>
      <c r="Y343" s="233"/>
      <c r="Z343" s="233"/>
      <c r="AA343" s="233"/>
    </row>
    <row r="344" spans="4:27" s="139" customFormat="1">
      <c r="D344" s="191"/>
      <c r="N344" s="233"/>
      <c r="O344" s="233"/>
      <c r="P344" s="233"/>
      <c r="Q344" s="233"/>
      <c r="R344" s="303"/>
      <c r="S344" s="233"/>
      <c r="T344" s="233"/>
      <c r="U344" s="233"/>
      <c r="V344" s="233"/>
      <c r="W344" s="233"/>
      <c r="X344" s="233"/>
      <c r="Y344" s="233"/>
      <c r="Z344" s="233"/>
      <c r="AA344" s="233"/>
    </row>
    <row r="345" spans="4:27" s="139" customFormat="1">
      <c r="D345" s="191"/>
      <c r="N345" s="233"/>
      <c r="O345" s="233"/>
      <c r="P345" s="233"/>
      <c r="Q345" s="233"/>
      <c r="R345" s="303"/>
      <c r="S345" s="233"/>
      <c r="T345" s="233"/>
      <c r="U345" s="233"/>
      <c r="V345" s="233"/>
      <c r="W345" s="233"/>
      <c r="X345" s="233"/>
      <c r="Y345" s="233"/>
      <c r="Z345" s="233"/>
      <c r="AA345" s="233"/>
    </row>
    <row r="346" spans="4:27" s="139" customFormat="1">
      <c r="D346" s="191"/>
      <c r="N346" s="233"/>
      <c r="O346" s="233"/>
      <c r="P346" s="233"/>
      <c r="Q346" s="233"/>
      <c r="R346" s="303"/>
      <c r="S346" s="233"/>
      <c r="T346" s="233"/>
      <c r="U346" s="233"/>
      <c r="V346" s="233"/>
      <c r="W346" s="233"/>
      <c r="X346" s="233"/>
      <c r="Y346" s="233"/>
      <c r="Z346" s="233"/>
      <c r="AA346" s="233"/>
    </row>
    <row r="347" spans="4:27" s="139" customFormat="1">
      <c r="D347" s="191"/>
      <c r="N347" s="233"/>
      <c r="O347" s="233"/>
      <c r="P347" s="233"/>
      <c r="Q347" s="233"/>
      <c r="R347" s="303"/>
      <c r="S347" s="233"/>
      <c r="T347" s="233"/>
      <c r="U347" s="233"/>
      <c r="V347" s="233"/>
      <c r="W347" s="233"/>
      <c r="X347" s="233"/>
      <c r="Y347" s="233"/>
      <c r="Z347" s="233"/>
      <c r="AA347" s="233"/>
    </row>
    <row r="348" spans="4:27" s="139" customFormat="1">
      <c r="D348" s="191"/>
      <c r="N348" s="233"/>
      <c r="O348" s="233"/>
      <c r="P348" s="233"/>
      <c r="Q348" s="233"/>
      <c r="R348" s="303"/>
      <c r="S348" s="233"/>
      <c r="T348" s="233"/>
      <c r="U348" s="233"/>
      <c r="V348" s="233"/>
      <c r="W348" s="233"/>
      <c r="X348" s="233"/>
      <c r="Y348" s="233"/>
      <c r="Z348" s="233"/>
      <c r="AA348" s="233"/>
    </row>
    <row r="349" spans="4:27" s="139" customFormat="1">
      <c r="D349" s="191"/>
      <c r="N349" s="233"/>
      <c r="O349" s="233"/>
      <c r="P349" s="233"/>
      <c r="Q349" s="233"/>
      <c r="R349" s="303"/>
      <c r="S349" s="233"/>
      <c r="T349" s="233"/>
      <c r="U349" s="233"/>
      <c r="V349" s="233"/>
      <c r="W349" s="233"/>
      <c r="X349" s="233"/>
      <c r="Y349" s="233"/>
      <c r="Z349" s="233"/>
      <c r="AA349" s="233"/>
    </row>
    <row r="350" spans="4:27" s="139" customFormat="1">
      <c r="D350" s="191"/>
      <c r="N350" s="233"/>
      <c r="O350" s="233"/>
      <c r="P350" s="233"/>
      <c r="Q350" s="233"/>
      <c r="R350" s="303"/>
      <c r="S350" s="233"/>
      <c r="T350" s="233"/>
      <c r="U350" s="233"/>
      <c r="V350" s="233"/>
      <c r="W350" s="233"/>
      <c r="X350" s="233"/>
      <c r="Y350" s="233"/>
      <c r="Z350" s="233"/>
      <c r="AA350" s="233"/>
    </row>
    <row r="351" spans="4:27" s="139" customFormat="1">
      <c r="D351" s="191"/>
      <c r="N351" s="233"/>
      <c r="O351" s="233"/>
      <c r="P351" s="233"/>
      <c r="Q351" s="233"/>
      <c r="R351" s="303"/>
      <c r="S351" s="233"/>
      <c r="T351" s="233"/>
      <c r="U351" s="233"/>
      <c r="V351" s="233"/>
      <c r="W351" s="233"/>
      <c r="X351" s="233"/>
      <c r="Y351" s="233"/>
      <c r="Z351" s="233"/>
      <c r="AA351" s="233"/>
    </row>
    <row r="352" spans="4:27" s="139" customFormat="1">
      <c r="D352" s="191"/>
      <c r="N352" s="233"/>
      <c r="O352" s="233"/>
      <c r="P352" s="233"/>
      <c r="Q352" s="233"/>
      <c r="R352" s="303"/>
      <c r="S352" s="233"/>
      <c r="T352" s="233"/>
      <c r="U352" s="233"/>
      <c r="V352" s="233"/>
      <c r="W352" s="233"/>
      <c r="X352" s="233"/>
      <c r="Y352" s="233"/>
      <c r="Z352" s="233"/>
      <c r="AA352" s="233"/>
    </row>
    <row r="353" spans="4:27" s="139" customFormat="1">
      <c r="D353" s="191"/>
      <c r="N353" s="233"/>
      <c r="O353" s="233"/>
      <c r="P353" s="233"/>
      <c r="Q353" s="233"/>
      <c r="R353" s="303"/>
      <c r="S353" s="233"/>
      <c r="T353" s="233"/>
      <c r="U353" s="233"/>
      <c r="V353" s="233"/>
      <c r="W353" s="233"/>
      <c r="X353" s="233"/>
      <c r="Y353" s="233"/>
      <c r="Z353" s="233"/>
      <c r="AA353" s="233"/>
    </row>
    <row r="354" spans="4:27" s="139" customFormat="1">
      <c r="D354" s="191"/>
      <c r="N354" s="233"/>
      <c r="O354" s="233"/>
      <c r="P354" s="233"/>
      <c r="Q354" s="233"/>
      <c r="R354" s="303"/>
      <c r="S354" s="233"/>
      <c r="T354" s="233"/>
      <c r="U354" s="233"/>
      <c r="V354" s="233"/>
      <c r="W354" s="233"/>
      <c r="X354" s="233"/>
      <c r="Y354" s="233"/>
      <c r="Z354" s="233"/>
      <c r="AA354" s="233"/>
    </row>
    <row r="355" spans="4:27" s="139" customFormat="1">
      <c r="D355" s="191"/>
      <c r="N355" s="233"/>
      <c r="O355" s="233"/>
      <c r="P355" s="233"/>
      <c r="Q355" s="233"/>
      <c r="R355" s="303"/>
      <c r="S355" s="233"/>
      <c r="T355" s="233"/>
      <c r="U355" s="233"/>
      <c r="V355" s="233"/>
      <c r="W355" s="233"/>
      <c r="X355" s="233"/>
      <c r="Y355" s="233"/>
      <c r="Z355" s="233"/>
      <c r="AA355" s="233"/>
    </row>
    <row r="356" spans="4:27" s="139" customFormat="1">
      <c r="D356" s="191"/>
      <c r="N356" s="233"/>
      <c r="O356" s="233"/>
      <c r="P356" s="233"/>
      <c r="Q356" s="233"/>
      <c r="R356" s="303"/>
      <c r="S356" s="233"/>
      <c r="T356" s="233"/>
      <c r="U356" s="233"/>
      <c r="V356" s="233"/>
      <c r="W356" s="233"/>
      <c r="X356" s="233"/>
      <c r="Y356" s="233"/>
      <c r="Z356" s="233"/>
      <c r="AA356" s="233"/>
    </row>
    <row r="357" spans="4:27" s="139" customFormat="1">
      <c r="D357" s="191"/>
      <c r="N357" s="233"/>
      <c r="O357" s="233"/>
      <c r="P357" s="233"/>
      <c r="Q357" s="233"/>
      <c r="R357" s="303"/>
      <c r="S357" s="233"/>
      <c r="T357" s="233"/>
      <c r="U357" s="233"/>
      <c r="V357" s="233"/>
      <c r="W357" s="233"/>
      <c r="X357" s="233"/>
      <c r="Y357" s="233"/>
      <c r="Z357" s="233"/>
      <c r="AA357" s="233"/>
    </row>
    <row r="358" spans="4:27" s="139" customFormat="1">
      <c r="D358" s="191"/>
      <c r="N358" s="233"/>
      <c r="O358" s="233"/>
      <c r="P358" s="233"/>
      <c r="Q358" s="233"/>
      <c r="R358" s="303"/>
      <c r="S358" s="233"/>
      <c r="T358" s="233"/>
      <c r="U358" s="233"/>
      <c r="V358" s="233"/>
      <c r="W358" s="233"/>
      <c r="X358" s="233"/>
      <c r="Y358" s="233"/>
      <c r="Z358" s="233"/>
      <c r="AA358" s="233"/>
    </row>
    <row r="359" spans="4:27" s="139" customFormat="1">
      <c r="D359" s="191"/>
      <c r="N359" s="233"/>
      <c r="O359" s="233"/>
      <c r="P359" s="233"/>
      <c r="Q359" s="233"/>
      <c r="R359" s="303"/>
      <c r="S359" s="233"/>
      <c r="T359" s="233"/>
      <c r="U359" s="233"/>
      <c r="V359" s="233"/>
      <c r="W359" s="233"/>
      <c r="X359" s="233"/>
      <c r="Y359" s="233"/>
      <c r="Z359" s="233"/>
      <c r="AA359" s="233"/>
    </row>
    <row r="360" spans="4:27" s="139" customFormat="1">
      <c r="D360" s="191"/>
      <c r="N360" s="233"/>
      <c r="O360" s="233"/>
      <c r="P360" s="233"/>
      <c r="Q360" s="233"/>
      <c r="R360" s="303"/>
      <c r="S360" s="233"/>
      <c r="T360" s="233"/>
      <c r="U360" s="233"/>
      <c r="V360" s="233"/>
      <c r="W360" s="233"/>
      <c r="X360" s="233"/>
      <c r="Y360" s="233"/>
      <c r="Z360" s="233"/>
      <c r="AA360" s="233"/>
    </row>
    <row r="361" spans="4:27" s="139" customFormat="1">
      <c r="D361" s="191"/>
      <c r="N361" s="233"/>
      <c r="O361" s="233"/>
      <c r="P361" s="233"/>
      <c r="Q361" s="233"/>
      <c r="R361" s="303"/>
      <c r="S361" s="233"/>
      <c r="T361" s="233"/>
      <c r="U361" s="233"/>
      <c r="V361" s="233"/>
      <c r="W361" s="233"/>
      <c r="X361" s="233"/>
      <c r="Y361" s="233"/>
      <c r="Z361" s="233"/>
      <c r="AA361" s="233"/>
    </row>
    <row r="362" spans="4:27" s="139" customFormat="1">
      <c r="D362" s="191"/>
      <c r="N362" s="233"/>
      <c r="O362" s="233"/>
      <c r="P362" s="233"/>
      <c r="Q362" s="233"/>
      <c r="R362" s="303"/>
      <c r="S362" s="233"/>
      <c r="T362" s="233"/>
      <c r="U362" s="233"/>
      <c r="V362" s="233"/>
      <c r="W362" s="233"/>
      <c r="X362" s="233"/>
      <c r="Y362" s="233"/>
      <c r="Z362" s="233"/>
      <c r="AA362" s="233"/>
    </row>
    <row r="363" spans="4:27" s="139" customFormat="1">
      <c r="D363" s="191"/>
      <c r="N363" s="233"/>
      <c r="O363" s="233"/>
      <c r="P363" s="233"/>
      <c r="Q363" s="233"/>
      <c r="R363" s="303"/>
      <c r="S363" s="233"/>
      <c r="T363" s="233"/>
      <c r="U363" s="233"/>
      <c r="V363" s="233"/>
      <c r="W363" s="233"/>
      <c r="X363" s="233"/>
      <c r="Y363" s="233"/>
      <c r="Z363" s="233"/>
      <c r="AA363" s="233"/>
    </row>
    <row r="364" spans="4:27" s="139" customFormat="1">
      <c r="D364" s="191"/>
      <c r="N364" s="233"/>
      <c r="O364" s="233"/>
      <c r="P364" s="233"/>
      <c r="Q364" s="233"/>
      <c r="R364" s="303"/>
      <c r="S364" s="233"/>
      <c r="T364" s="233"/>
      <c r="U364" s="233"/>
      <c r="V364" s="233"/>
      <c r="W364" s="233"/>
      <c r="X364" s="233"/>
      <c r="Y364" s="233"/>
      <c r="Z364" s="233"/>
      <c r="AA364" s="233"/>
    </row>
    <row r="365" spans="4:27" s="139" customFormat="1">
      <c r="D365" s="191"/>
      <c r="N365" s="233"/>
      <c r="O365" s="233"/>
      <c r="P365" s="233"/>
      <c r="Q365" s="233"/>
      <c r="R365" s="303"/>
      <c r="S365" s="233"/>
      <c r="T365" s="233"/>
      <c r="U365" s="233"/>
      <c r="V365" s="233"/>
      <c r="W365" s="233"/>
      <c r="X365" s="233"/>
      <c r="Y365" s="233"/>
      <c r="Z365" s="233"/>
      <c r="AA365" s="233"/>
    </row>
    <row r="366" spans="4:27" s="139" customFormat="1">
      <c r="D366" s="191"/>
      <c r="N366" s="233"/>
      <c r="O366" s="233"/>
      <c r="P366" s="233"/>
      <c r="Q366" s="233"/>
      <c r="R366" s="303"/>
      <c r="S366" s="233"/>
      <c r="T366" s="233"/>
      <c r="U366" s="233"/>
      <c r="V366" s="233"/>
      <c r="W366" s="233"/>
      <c r="X366" s="233"/>
      <c r="Y366" s="233"/>
      <c r="Z366" s="233"/>
      <c r="AA366" s="233"/>
    </row>
    <row r="367" spans="4:27" s="139" customFormat="1">
      <c r="D367" s="191"/>
      <c r="N367" s="233"/>
      <c r="O367" s="233"/>
      <c r="P367" s="233"/>
      <c r="Q367" s="233"/>
      <c r="R367" s="303"/>
      <c r="S367" s="233"/>
      <c r="T367" s="233"/>
      <c r="U367" s="233"/>
      <c r="V367" s="233"/>
      <c r="W367" s="233"/>
      <c r="X367" s="233"/>
      <c r="Y367" s="233"/>
      <c r="Z367" s="233"/>
      <c r="AA367" s="233"/>
    </row>
    <row r="368" spans="4:27" s="139" customFormat="1">
      <c r="D368" s="191"/>
      <c r="N368" s="233"/>
      <c r="O368" s="233"/>
      <c r="P368" s="233"/>
      <c r="Q368" s="233"/>
      <c r="R368" s="303"/>
      <c r="S368" s="233"/>
      <c r="T368" s="233"/>
      <c r="U368" s="233"/>
      <c r="V368" s="233"/>
      <c r="W368" s="233"/>
      <c r="X368" s="233"/>
      <c r="Y368" s="233"/>
      <c r="Z368" s="233"/>
      <c r="AA368" s="233"/>
    </row>
    <row r="369" spans="4:27" s="139" customFormat="1">
      <c r="D369" s="191"/>
      <c r="N369" s="233"/>
      <c r="O369" s="233"/>
      <c r="P369" s="233"/>
      <c r="Q369" s="233"/>
      <c r="R369" s="303"/>
      <c r="S369" s="233"/>
      <c r="T369" s="233"/>
      <c r="U369" s="233"/>
      <c r="V369" s="233"/>
      <c r="W369" s="233"/>
      <c r="X369" s="233"/>
      <c r="Y369" s="233"/>
      <c r="Z369" s="233"/>
      <c r="AA369" s="233"/>
    </row>
    <row r="370" spans="4:27" s="139" customFormat="1">
      <c r="D370" s="191"/>
      <c r="N370" s="233"/>
      <c r="O370" s="233"/>
      <c r="P370" s="233"/>
      <c r="Q370" s="233"/>
      <c r="R370" s="303"/>
      <c r="S370" s="233"/>
      <c r="T370" s="233"/>
      <c r="U370" s="233"/>
      <c r="V370" s="233"/>
      <c r="W370" s="233"/>
      <c r="X370" s="233"/>
      <c r="Y370" s="233"/>
      <c r="Z370" s="233"/>
      <c r="AA370" s="233"/>
    </row>
    <row r="371" spans="4:27" s="139" customFormat="1">
      <c r="D371" s="191"/>
      <c r="N371" s="233"/>
      <c r="O371" s="233"/>
      <c r="P371" s="233"/>
      <c r="Q371" s="233"/>
      <c r="R371" s="303"/>
      <c r="S371" s="233"/>
      <c r="T371" s="233"/>
      <c r="U371" s="233"/>
      <c r="V371" s="233"/>
      <c r="W371" s="233"/>
      <c r="X371" s="233"/>
      <c r="Y371" s="233"/>
      <c r="Z371" s="233"/>
      <c r="AA371" s="233"/>
    </row>
    <row r="372" spans="4:27" s="139" customFormat="1">
      <c r="D372" s="191"/>
      <c r="N372" s="233"/>
      <c r="O372" s="233"/>
      <c r="P372" s="233"/>
      <c r="Q372" s="233"/>
      <c r="R372" s="303"/>
      <c r="S372" s="233"/>
      <c r="T372" s="233"/>
      <c r="U372" s="233"/>
      <c r="V372" s="233"/>
      <c r="W372" s="233"/>
      <c r="X372" s="233"/>
      <c r="Y372" s="233"/>
      <c r="Z372" s="233"/>
      <c r="AA372" s="233"/>
    </row>
    <row r="373" spans="4:27" s="139" customFormat="1">
      <c r="D373" s="191"/>
      <c r="N373" s="233"/>
      <c r="O373" s="233"/>
      <c r="P373" s="233"/>
      <c r="Q373" s="233"/>
      <c r="R373" s="303"/>
      <c r="S373" s="233"/>
      <c r="T373" s="233"/>
      <c r="U373" s="233"/>
      <c r="V373" s="233"/>
      <c r="W373" s="233"/>
      <c r="X373" s="233"/>
      <c r="Y373" s="233"/>
      <c r="Z373" s="233"/>
      <c r="AA373" s="233"/>
    </row>
    <row r="374" spans="4:27" s="139" customFormat="1">
      <c r="D374" s="191"/>
      <c r="N374" s="233"/>
      <c r="O374" s="233"/>
      <c r="P374" s="233"/>
      <c r="Q374" s="233"/>
      <c r="R374" s="303"/>
      <c r="S374" s="233"/>
      <c r="T374" s="233"/>
      <c r="U374" s="233"/>
      <c r="V374" s="233"/>
      <c r="W374" s="233"/>
      <c r="X374" s="233"/>
      <c r="Y374" s="233"/>
      <c r="Z374" s="233"/>
      <c r="AA374" s="233"/>
    </row>
    <row r="375" spans="4:27" s="139" customFormat="1">
      <c r="D375" s="191"/>
      <c r="N375" s="233"/>
      <c r="O375" s="233"/>
      <c r="P375" s="233"/>
      <c r="Q375" s="233"/>
      <c r="R375" s="303"/>
      <c r="S375" s="233"/>
      <c r="T375" s="233"/>
      <c r="U375" s="233"/>
      <c r="V375" s="233"/>
      <c r="W375" s="233"/>
      <c r="X375" s="233"/>
      <c r="Y375" s="233"/>
      <c r="Z375" s="233"/>
      <c r="AA375" s="233"/>
    </row>
    <row r="376" spans="4:27" s="139" customFormat="1">
      <c r="D376" s="191"/>
      <c r="N376" s="233"/>
      <c r="O376" s="233"/>
      <c r="P376" s="233"/>
      <c r="Q376" s="233"/>
      <c r="R376" s="303"/>
      <c r="S376" s="233"/>
      <c r="T376" s="233"/>
      <c r="U376" s="233"/>
      <c r="V376" s="233"/>
      <c r="W376" s="233"/>
      <c r="X376" s="233"/>
      <c r="Y376" s="233"/>
      <c r="Z376" s="233"/>
      <c r="AA376" s="233"/>
    </row>
    <row r="377" spans="4:27" s="139" customFormat="1">
      <c r="D377" s="191"/>
      <c r="N377" s="233"/>
      <c r="O377" s="233"/>
      <c r="P377" s="233"/>
      <c r="Q377" s="233"/>
      <c r="R377" s="303"/>
      <c r="S377" s="233"/>
      <c r="T377" s="233"/>
      <c r="U377" s="233"/>
      <c r="V377" s="233"/>
      <c r="W377" s="233"/>
      <c r="X377" s="233"/>
      <c r="Y377" s="233"/>
      <c r="Z377" s="233"/>
      <c r="AA377" s="233"/>
    </row>
    <row r="378" spans="4:27" s="139" customFormat="1">
      <c r="D378" s="191"/>
      <c r="N378" s="233"/>
      <c r="O378" s="233"/>
      <c r="P378" s="233"/>
      <c r="Q378" s="233"/>
      <c r="R378" s="303"/>
      <c r="S378" s="233"/>
      <c r="T378" s="233"/>
      <c r="U378" s="233"/>
      <c r="V378" s="233"/>
      <c r="W378" s="233"/>
      <c r="X378" s="233"/>
      <c r="Y378" s="233"/>
      <c r="Z378" s="233"/>
      <c r="AA378" s="233"/>
    </row>
    <row r="379" spans="4:27" s="139" customFormat="1">
      <c r="D379" s="191"/>
      <c r="N379" s="233"/>
      <c r="O379" s="233"/>
      <c r="P379" s="233"/>
      <c r="Q379" s="233"/>
      <c r="R379" s="303"/>
      <c r="S379" s="233"/>
      <c r="T379" s="233"/>
      <c r="U379" s="233"/>
      <c r="V379" s="233"/>
      <c r="W379" s="233"/>
      <c r="X379" s="233"/>
      <c r="Y379" s="233"/>
      <c r="Z379" s="233"/>
      <c r="AA379" s="233"/>
    </row>
    <row r="380" spans="4:27" s="139" customFormat="1">
      <c r="D380" s="191"/>
      <c r="N380" s="233"/>
      <c r="O380" s="233"/>
      <c r="P380" s="233"/>
      <c r="Q380" s="233"/>
      <c r="R380" s="303"/>
      <c r="S380" s="233"/>
      <c r="T380" s="233"/>
      <c r="U380" s="233"/>
      <c r="V380" s="233"/>
      <c r="W380" s="233"/>
      <c r="X380" s="233"/>
      <c r="Y380" s="233"/>
      <c r="Z380" s="233"/>
      <c r="AA380" s="233"/>
    </row>
    <row r="381" spans="4:27" s="139" customFormat="1">
      <c r="D381" s="191"/>
      <c r="N381" s="233"/>
      <c r="O381" s="233"/>
      <c r="P381" s="233"/>
      <c r="Q381" s="233"/>
      <c r="R381" s="303"/>
      <c r="S381" s="233"/>
      <c r="T381" s="233"/>
      <c r="U381" s="233"/>
      <c r="V381" s="233"/>
      <c r="W381" s="233"/>
      <c r="X381" s="233"/>
      <c r="Y381" s="233"/>
      <c r="Z381" s="233"/>
      <c r="AA381" s="233"/>
    </row>
    <row r="382" spans="4:27" s="139" customFormat="1">
      <c r="D382" s="191"/>
      <c r="N382" s="233"/>
      <c r="O382" s="233"/>
      <c r="P382" s="233"/>
      <c r="Q382" s="233"/>
      <c r="R382" s="303"/>
      <c r="S382" s="233"/>
      <c r="T382" s="233"/>
      <c r="U382" s="233"/>
      <c r="V382" s="233"/>
      <c r="W382" s="233"/>
      <c r="X382" s="233"/>
      <c r="Y382" s="233"/>
      <c r="Z382" s="233"/>
      <c r="AA382" s="233"/>
    </row>
    <row r="383" spans="4:27" s="139" customFormat="1">
      <c r="D383" s="191"/>
      <c r="N383" s="233"/>
      <c r="O383" s="233"/>
      <c r="P383" s="233"/>
      <c r="Q383" s="233"/>
      <c r="R383" s="303"/>
      <c r="S383" s="233"/>
      <c r="T383" s="233"/>
      <c r="U383" s="233"/>
      <c r="V383" s="233"/>
      <c r="W383" s="233"/>
      <c r="X383" s="233"/>
      <c r="Y383" s="233"/>
      <c r="Z383" s="233"/>
      <c r="AA383" s="233"/>
    </row>
    <row r="384" spans="4:27" s="139" customFormat="1">
      <c r="D384" s="191"/>
      <c r="N384" s="233"/>
      <c r="O384" s="233"/>
      <c r="P384" s="233"/>
      <c r="Q384" s="233"/>
      <c r="R384" s="303"/>
      <c r="S384" s="233"/>
      <c r="T384" s="233"/>
      <c r="U384" s="233"/>
      <c r="V384" s="233"/>
      <c r="W384" s="233"/>
      <c r="X384" s="233"/>
      <c r="Y384" s="233"/>
      <c r="Z384" s="233"/>
      <c r="AA384" s="233"/>
    </row>
    <row r="385" spans="4:27" s="139" customFormat="1">
      <c r="D385" s="191"/>
      <c r="N385" s="233"/>
      <c r="O385" s="233"/>
      <c r="P385" s="233"/>
      <c r="Q385" s="233"/>
      <c r="R385" s="303"/>
      <c r="S385" s="233"/>
      <c r="T385" s="233"/>
      <c r="U385" s="233"/>
      <c r="V385" s="233"/>
      <c r="W385" s="233"/>
      <c r="X385" s="233"/>
      <c r="Y385" s="233"/>
      <c r="Z385" s="233"/>
      <c r="AA385" s="233"/>
    </row>
    <row r="386" spans="4:27" s="139" customFormat="1">
      <c r="D386" s="191"/>
      <c r="N386" s="233"/>
      <c r="O386" s="233"/>
      <c r="P386" s="233"/>
      <c r="Q386" s="233"/>
      <c r="R386" s="303"/>
      <c r="S386" s="233"/>
      <c r="T386" s="233"/>
      <c r="U386" s="233"/>
      <c r="V386" s="233"/>
      <c r="W386" s="233"/>
      <c r="X386" s="233"/>
      <c r="Y386" s="233"/>
      <c r="Z386" s="233"/>
      <c r="AA386" s="233"/>
    </row>
    <row r="387" spans="4:27" s="139" customFormat="1">
      <c r="D387" s="191"/>
      <c r="N387" s="233"/>
      <c r="O387" s="233"/>
      <c r="P387" s="233"/>
      <c r="Q387" s="233"/>
      <c r="R387" s="303"/>
      <c r="S387" s="233"/>
      <c r="T387" s="233"/>
      <c r="U387" s="233"/>
      <c r="V387" s="233"/>
      <c r="W387" s="233"/>
      <c r="X387" s="233"/>
      <c r="Y387" s="233"/>
      <c r="Z387" s="233"/>
      <c r="AA387" s="233"/>
    </row>
    <row r="388" spans="4:27" s="139" customFormat="1">
      <c r="D388" s="191"/>
      <c r="N388" s="233"/>
      <c r="O388" s="233"/>
      <c r="P388" s="233"/>
      <c r="Q388" s="233"/>
      <c r="R388" s="303"/>
      <c r="S388" s="233"/>
      <c r="T388" s="233"/>
      <c r="U388" s="233"/>
      <c r="V388" s="233"/>
      <c r="W388" s="233"/>
      <c r="X388" s="233"/>
      <c r="Y388" s="233"/>
      <c r="Z388" s="233"/>
      <c r="AA388" s="233"/>
    </row>
    <row r="389" spans="4:27" s="139" customFormat="1">
      <c r="D389" s="191"/>
      <c r="N389" s="233"/>
      <c r="O389" s="233"/>
      <c r="P389" s="233"/>
      <c r="Q389" s="233"/>
      <c r="R389" s="303"/>
      <c r="S389" s="233"/>
      <c r="T389" s="233"/>
      <c r="U389" s="233"/>
      <c r="V389" s="233"/>
      <c r="W389" s="233"/>
      <c r="X389" s="233"/>
      <c r="Y389" s="233"/>
      <c r="Z389" s="233"/>
      <c r="AA389" s="233"/>
    </row>
    <row r="390" spans="4:27" s="139" customFormat="1">
      <c r="D390" s="191"/>
      <c r="N390" s="233"/>
      <c r="O390" s="233"/>
      <c r="P390" s="233"/>
      <c r="Q390" s="233"/>
      <c r="R390" s="303"/>
      <c r="S390" s="233"/>
      <c r="T390" s="233"/>
      <c r="U390" s="233"/>
      <c r="V390" s="233"/>
      <c r="W390" s="233"/>
      <c r="X390" s="233"/>
      <c r="Y390" s="233"/>
      <c r="Z390" s="233"/>
      <c r="AA390" s="233"/>
    </row>
    <row r="391" spans="4:27" s="139" customFormat="1">
      <c r="D391" s="191"/>
      <c r="N391" s="233"/>
      <c r="O391" s="233"/>
      <c r="P391" s="233"/>
      <c r="Q391" s="233"/>
      <c r="R391" s="303"/>
      <c r="S391" s="233"/>
      <c r="T391" s="233"/>
      <c r="U391" s="233"/>
      <c r="V391" s="233"/>
      <c r="W391" s="233"/>
      <c r="X391" s="233"/>
      <c r="Y391" s="233"/>
      <c r="Z391" s="233"/>
      <c r="AA391" s="233"/>
    </row>
    <row r="392" spans="4:27" s="139" customFormat="1">
      <c r="D392" s="191"/>
      <c r="N392" s="233"/>
      <c r="O392" s="233"/>
      <c r="P392" s="233"/>
      <c r="Q392" s="233"/>
      <c r="R392" s="303"/>
      <c r="S392" s="233"/>
      <c r="T392" s="233"/>
      <c r="U392" s="233"/>
      <c r="V392" s="233"/>
      <c r="W392" s="233"/>
      <c r="X392" s="233"/>
      <c r="Y392" s="233"/>
      <c r="Z392" s="233"/>
      <c r="AA392" s="233"/>
    </row>
    <row r="393" spans="4:27" s="139" customFormat="1">
      <c r="D393" s="191"/>
      <c r="N393" s="233"/>
      <c r="O393" s="233"/>
      <c r="P393" s="233"/>
      <c r="Q393" s="233"/>
      <c r="R393" s="303"/>
      <c r="S393" s="233"/>
      <c r="T393" s="233"/>
      <c r="U393" s="233"/>
      <c r="V393" s="233"/>
      <c r="W393" s="233"/>
      <c r="X393" s="233"/>
      <c r="Y393" s="233"/>
      <c r="Z393" s="233"/>
      <c r="AA393" s="233"/>
    </row>
    <row r="394" spans="4:27" s="139" customFormat="1">
      <c r="D394" s="191"/>
      <c r="N394" s="233"/>
      <c r="O394" s="233"/>
      <c r="P394" s="233"/>
      <c r="Q394" s="233"/>
      <c r="R394" s="303"/>
      <c r="S394" s="233"/>
      <c r="T394" s="233"/>
      <c r="U394" s="233"/>
      <c r="V394" s="233"/>
      <c r="W394" s="233"/>
      <c r="X394" s="233"/>
      <c r="Y394" s="233"/>
      <c r="Z394" s="233"/>
      <c r="AA394" s="233"/>
    </row>
    <row r="395" spans="4:27" s="139" customFormat="1">
      <c r="D395" s="191"/>
      <c r="N395" s="233"/>
      <c r="O395" s="233"/>
      <c r="P395" s="233"/>
      <c r="Q395" s="233"/>
      <c r="R395" s="303"/>
      <c r="S395" s="233"/>
      <c r="T395" s="233"/>
      <c r="U395" s="233"/>
      <c r="V395" s="233"/>
      <c r="W395" s="233"/>
      <c r="X395" s="233"/>
      <c r="Y395" s="233"/>
      <c r="Z395" s="233"/>
      <c r="AA395" s="233"/>
    </row>
    <row r="396" spans="4:27" s="139" customFormat="1">
      <c r="D396" s="191"/>
      <c r="N396" s="233"/>
      <c r="O396" s="233"/>
      <c r="P396" s="233"/>
      <c r="Q396" s="233"/>
      <c r="R396" s="303"/>
      <c r="S396" s="233"/>
      <c r="T396" s="233"/>
      <c r="U396" s="233"/>
      <c r="V396" s="233"/>
      <c r="W396" s="233"/>
      <c r="X396" s="233"/>
      <c r="Y396" s="233"/>
      <c r="Z396" s="233"/>
      <c r="AA396" s="233"/>
    </row>
    <row r="397" spans="4:27" s="139" customFormat="1">
      <c r="D397" s="191"/>
      <c r="N397" s="233"/>
      <c r="O397" s="233"/>
      <c r="P397" s="233"/>
      <c r="Q397" s="233"/>
      <c r="R397" s="303"/>
      <c r="S397" s="233"/>
      <c r="T397" s="233"/>
      <c r="U397" s="233"/>
      <c r="V397" s="233"/>
      <c r="W397" s="233"/>
      <c r="X397" s="233"/>
      <c r="Y397" s="233"/>
      <c r="Z397" s="233"/>
      <c r="AA397" s="233"/>
    </row>
    <row r="398" spans="4:27" s="139" customFormat="1">
      <c r="D398" s="191"/>
      <c r="N398" s="233"/>
      <c r="O398" s="233"/>
      <c r="P398" s="233"/>
      <c r="Q398" s="233"/>
      <c r="R398" s="303"/>
      <c r="S398" s="233"/>
      <c r="T398" s="233"/>
      <c r="U398" s="233"/>
      <c r="V398" s="233"/>
      <c r="W398" s="233"/>
      <c r="X398" s="233"/>
      <c r="Y398" s="233"/>
      <c r="Z398" s="233"/>
      <c r="AA398" s="233"/>
    </row>
    <row r="399" spans="4:27" s="139" customFormat="1">
      <c r="D399" s="191"/>
      <c r="N399" s="233"/>
      <c r="O399" s="233"/>
      <c r="P399" s="233"/>
      <c r="Q399" s="233"/>
      <c r="R399" s="303"/>
      <c r="S399" s="233"/>
      <c r="T399" s="233"/>
      <c r="U399" s="233"/>
      <c r="V399" s="233"/>
      <c r="W399" s="233"/>
      <c r="X399" s="233"/>
      <c r="Y399" s="233"/>
      <c r="Z399" s="233"/>
      <c r="AA399" s="233"/>
    </row>
    <row r="400" spans="4:27" s="139" customFormat="1">
      <c r="D400" s="191"/>
      <c r="N400" s="233"/>
      <c r="O400" s="233"/>
      <c r="P400" s="233"/>
      <c r="Q400" s="233"/>
      <c r="R400" s="303"/>
      <c r="S400" s="233"/>
      <c r="T400" s="233"/>
      <c r="U400" s="233"/>
      <c r="V400" s="233"/>
      <c r="W400" s="233"/>
      <c r="X400" s="233"/>
      <c r="Y400" s="233"/>
      <c r="Z400" s="233"/>
      <c r="AA400" s="233"/>
    </row>
    <row r="401" spans="4:27" s="139" customFormat="1">
      <c r="D401" s="191"/>
      <c r="N401" s="233"/>
      <c r="O401" s="233"/>
      <c r="P401" s="233"/>
      <c r="Q401" s="233"/>
      <c r="R401" s="303"/>
      <c r="S401" s="233"/>
      <c r="T401" s="233"/>
      <c r="U401" s="233"/>
      <c r="V401" s="233"/>
      <c r="W401" s="233"/>
      <c r="X401" s="233"/>
      <c r="Y401" s="233"/>
      <c r="Z401" s="233"/>
      <c r="AA401" s="233"/>
    </row>
    <row r="402" spans="4:27" s="139" customFormat="1">
      <c r="D402" s="191"/>
      <c r="N402" s="233"/>
      <c r="O402" s="233"/>
      <c r="P402" s="233"/>
      <c r="Q402" s="233"/>
      <c r="R402" s="303"/>
      <c r="S402" s="233"/>
      <c r="T402" s="233"/>
      <c r="U402" s="233"/>
      <c r="V402" s="233"/>
      <c r="W402" s="233"/>
      <c r="X402" s="233"/>
      <c r="Y402" s="233"/>
      <c r="Z402" s="233"/>
      <c r="AA402" s="233"/>
    </row>
    <row r="403" spans="4:27" s="139" customFormat="1">
      <c r="D403" s="191"/>
      <c r="N403" s="233"/>
      <c r="O403" s="233"/>
      <c r="P403" s="233"/>
      <c r="Q403" s="233"/>
      <c r="R403" s="303"/>
      <c r="S403" s="233"/>
      <c r="T403" s="233"/>
      <c r="U403" s="233"/>
      <c r="V403" s="233"/>
      <c r="W403" s="233"/>
      <c r="X403" s="233"/>
      <c r="Y403" s="233"/>
      <c r="Z403" s="233"/>
      <c r="AA403" s="233"/>
    </row>
    <row r="404" spans="4:27" s="139" customFormat="1">
      <c r="D404" s="191"/>
      <c r="N404" s="233"/>
      <c r="O404" s="233"/>
      <c r="P404" s="233"/>
      <c r="Q404" s="233"/>
      <c r="R404" s="303"/>
      <c r="S404" s="233"/>
      <c r="T404" s="233"/>
      <c r="U404" s="233"/>
      <c r="V404" s="233"/>
      <c r="W404" s="233"/>
      <c r="X404" s="233"/>
      <c r="Y404" s="233"/>
      <c r="Z404" s="233"/>
      <c r="AA404" s="233"/>
    </row>
    <row r="405" spans="4:27" s="139" customFormat="1">
      <c r="D405" s="191"/>
      <c r="N405" s="233"/>
      <c r="O405" s="233"/>
      <c r="P405" s="233"/>
      <c r="Q405" s="233"/>
      <c r="R405" s="303"/>
      <c r="S405" s="233"/>
      <c r="T405" s="233"/>
      <c r="U405" s="233"/>
      <c r="V405" s="233"/>
      <c r="W405" s="233"/>
      <c r="X405" s="233"/>
      <c r="Y405" s="233"/>
      <c r="Z405" s="233"/>
      <c r="AA405" s="233"/>
    </row>
    <row r="406" spans="4:27" s="139" customFormat="1">
      <c r="D406" s="191"/>
      <c r="N406" s="233"/>
      <c r="O406" s="233"/>
      <c r="P406" s="233"/>
      <c r="Q406" s="233"/>
      <c r="R406" s="303"/>
      <c r="S406" s="233"/>
      <c r="T406" s="233"/>
      <c r="U406" s="233"/>
      <c r="V406" s="233"/>
      <c r="W406" s="233"/>
      <c r="X406" s="233"/>
      <c r="Y406" s="233"/>
      <c r="Z406" s="233"/>
      <c r="AA406" s="233"/>
    </row>
    <row r="407" spans="4:27" s="139" customFormat="1">
      <c r="D407" s="191"/>
      <c r="N407" s="233"/>
      <c r="O407" s="233"/>
      <c r="P407" s="233"/>
      <c r="Q407" s="233"/>
      <c r="R407" s="303"/>
      <c r="S407" s="233"/>
      <c r="T407" s="233"/>
      <c r="U407" s="233"/>
      <c r="V407" s="233"/>
      <c r="W407" s="233"/>
      <c r="X407" s="233"/>
      <c r="Y407" s="233"/>
      <c r="Z407" s="233"/>
      <c r="AA407" s="233"/>
    </row>
    <row r="408" spans="4:27" s="139" customFormat="1">
      <c r="D408" s="191"/>
      <c r="N408" s="233"/>
      <c r="O408" s="233"/>
      <c r="P408" s="233"/>
      <c r="Q408" s="233"/>
      <c r="R408" s="303"/>
      <c r="S408" s="233"/>
      <c r="T408" s="233"/>
      <c r="U408" s="233"/>
      <c r="V408" s="233"/>
      <c r="W408" s="233"/>
      <c r="X408" s="233"/>
      <c r="Y408" s="233"/>
      <c r="Z408" s="233"/>
      <c r="AA408" s="233"/>
    </row>
    <row r="409" spans="4:27" s="139" customFormat="1">
      <c r="D409" s="191"/>
      <c r="N409" s="233"/>
      <c r="O409" s="233"/>
      <c r="P409" s="233"/>
      <c r="Q409" s="233"/>
      <c r="R409" s="303"/>
      <c r="S409" s="233"/>
      <c r="T409" s="233"/>
      <c r="U409" s="233"/>
      <c r="V409" s="233"/>
      <c r="W409" s="233"/>
      <c r="X409" s="233"/>
      <c r="Y409" s="233"/>
      <c r="Z409" s="233"/>
      <c r="AA409" s="233"/>
    </row>
    <row r="410" spans="4:27" s="139" customFormat="1">
      <c r="D410" s="191"/>
      <c r="N410" s="233"/>
      <c r="O410" s="233"/>
      <c r="P410" s="233"/>
      <c r="Q410" s="233"/>
      <c r="R410" s="303"/>
      <c r="S410" s="233"/>
      <c r="T410" s="233"/>
      <c r="U410" s="233"/>
      <c r="V410" s="233"/>
      <c r="W410" s="233"/>
      <c r="X410" s="233"/>
      <c r="Y410" s="233"/>
      <c r="Z410" s="233"/>
      <c r="AA410" s="233"/>
    </row>
    <row r="411" spans="4:27" s="139" customFormat="1">
      <c r="D411" s="191"/>
      <c r="N411" s="233"/>
      <c r="O411" s="233"/>
      <c r="P411" s="233"/>
      <c r="Q411" s="233"/>
      <c r="R411" s="303"/>
      <c r="S411" s="233"/>
      <c r="T411" s="233"/>
      <c r="U411" s="233"/>
      <c r="V411" s="233"/>
      <c r="W411" s="233"/>
      <c r="X411" s="233"/>
      <c r="Y411" s="233"/>
      <c r="Z411" s="233"/>
      <c r="AA411" s="233"/>
    </row>
    <row r="412" spans="4:27" s="139" customFormat="1">
      <c r="D412" s="191"/>
      <c r="N412" s="233"/>
      <c r="O412" s="233"/>
      <c r="P412" s="233"/>
      <c r="Q412" s="233"/>
      <c r="R412" s="303"/>
      <c r="S412" s="233"/>
      <c r="T412" s="233"/>
      <c r="U412" s="233"/>
      <c r="V412" s="233"/>
      <c r="W412" s="233"/>
      <c r="X412" s="233"/>
      <c r="Y412" s="233"/>
      <c r="Z412" s="233"/>
      <c r="AA412" s="233"/>
    </row>
    <row r="413" spans="4:27" s="139" customFormat="1">
      <c r="D413" s="191"/>
      <c r="N413" s="233"/>
      <c r="O413" s="233"/>
      <c r="P413" s="233"/>
      <c r="Q413" s="233"/>
      <c r="R413" s="303"/>
      <c r="S413" s="233"/>
      <c r="T413" s="233"/>
      <c r="U413" s="233"/>
      <c r="V413" s="233"/>
      <c r="W413" s="233"/>
      <c r="X413" s="233"/>
      <c r="Y413" s="233"/>
      <c r="Z413" s="233"/>
      <c r="AA413" s="233"/>
    </row>
    <row r="414" spans="4:27" s="139" customFormat="1">
      <c r="D414" s="191"/>
      <c r="N414" s="233"/>
      <c r="O414" s="233"/>
      <c r="P414" s="233"/>
      <c r="Q414" s="233"/>
      <c r="R414" s="303"/>
      <c r="S414" s="233"/>
      <c r="T414" s="233"/>
      <c r="U414" s="233"/>
      <c r="V414" s="233"/>
      <c r="W414" s="233"/>
      <c r="X414" s="233"/>
      <c r="Y414" s="233"/>
      <c r="Z414" s="233"/>
      <c r="AA414" s="233"/>
    </row>
    <row r="415" spans="4:27" s="139" customFormat="1">
      <c r="D415" s="191"/>
      <c r="N415" s="233"/>
      <c r="O415" s="233"/>
      <c r="P415" s="233"/>
      <c r="Q415" s="233"/>
      <c r="R415" s="303"/>
      <c r="S415" s="233"/>
      <c r="T415" s="233"/>
      <c r="U415" s="233"/>
      <c r="V415" s="233"/>
      <c r="W415" s="233"/>
      <c r="X415" s="233"/>
      <c r="Y415" s="233"/>
      <c r="Z415" s="233"/>
      <c r="AA415" s="233"/>
    </row>
    <row r="416" spans="4:27" s="139" customFormat="1">
      <c r="D416" s="191"/>
      <c r="N416" s="233"/>
      <c r="O416" s="233"/>
      <c r="P416" s="233"/>
      <c r="Q416" s="233"/>
      <c r="R416" s="303"/>
      <c r="S416" s="233"/>
      <c r="T416" s="233"/>
      <c r="U416" s="233"/>
      <c r="V416" s="233"/>
      <c r="W416" s="233"/>
      <c r="X416" s="233"/>
      <c r="Y416" s="233"/>
      <c r="Z416" s="233"/>
      <c r="AA416" s="233"/>
    </row>
    <row r="417" spans="4:27" s="139" customFormat="1">
      <c r="D417" s="191"/>
      <c r="N417" s="233"/>
      <c r="O417" s="233"/>
      <c r="P417" s="233"/>
      <c r="Q417" s="233"/>
      <c r="R417" s="303"/>
      <c r="S417" s="233"/>
      <c r="T417" s="233"/>
      <c r="U417" s="233"/>
      <c r="V417" s="233"/>
      <c r="W417" s="233"/>
      <c r="X417" s="233"/>
      <c r="Y417" s="233"/>
      <c r="Z417" s="233"/>
      <c r="AA417" s="233"/>
    </row>
    <row r="418" spans="4:27" s="139" customFormat="1">
      <c r="D418" s="191"/>
      <c r="N418" s="233"/>
      <c r="O418" s="233"/>
      <c r="P418" s="233"/>
      <c r="Q418" s="233"/>
      <c r="R418" s="303"/>
      <c r="S418" s="233"/>
      <c r="T418" s="233"/>
      <c r="U418" s="233"/>
      <c r="V418" s="233"/>
      <c r="W418" s="233"/>
      <c r="X418" s="233"/>
      <c r="Y418" s="233"/>
      <c r="Z418" s="233"/>
      <c r="AA418" s="233"/>
    </row>
    <row r="419" spans="4:27" s="139" customFormat="1">
      <c r="D419" s="191"/>
      <c r="N419" s="233"/>
      <c r="O419" s="233"/>
      <c r="P419" s="233"/>
      <c r="Q419" s="233"/>
      <c r="R419" s="303"/>
      <c r="S419" s="233"/>
      <c r="T419" s="233"/>
      <c r="U419" s="233"/>
      <c r="V419" s="233"/>
      <c r="W419" s="233"/>
      <c r="X419" s="233"/>
      <c r="Y419" s="233"/>
      <c r="Z419" s="233"/>
      <c r="AA419" s="233"/>
    </row>
    <row r="420" spans="4:27" s="139" customFormat="1">
      <c r="D420" s="191"/>
      <c r="N420" s="233"/>
      <c r="O420" s="233"/>
      <c r="P420" s="233"/>
      <c r="Q420" s="233"/>
      <c r="R420" s="303"/>
      <c r="S420" s="233"/>
      <c r="T420" s="233"/>
      <c r="U420" s="233"/>
      <c r="V420" s="233"/>
      <c r="W420" s="233"/>
      <c r="X420" s="233"/>
      <c r="Y420" s="233"/>
      <c r="Z420" s="233"/>
      <c r="AA420" s="233"/>
    </row>
    <row r="421" spans="4:27" s="139" customFormat="1">
      <c r="D421" s="191"/>
      <c r="N421" s="233"/>
      <c r="O421" s="233"/>
      <c r="P421" s="233"/>
      <c r="Q421" s="233"/>
      <c r="R421" s="303"/>
      <c r="S421" s="233"/>
      <c r="T421" s="233"/>
      <c r="U421" s="233"/>
      <c r="V421" s="233"/>
      <c r="W421" s="233"/>
      <c r="X421" s="233"/>
      <c r="Y421" s="233"/>
      <c r="Z421" s="233"/>
      <c r="AA421" s="233"/>
    </row>
    <row r="422" spans="4:27" s="139" customFormat="1">
      <c r="D422" s="191"/>
      <c r="N422" s="233"/>
      <c r="O422" s="233"/>
      <c r="P422" s="233"/>
      <c r="Q422" s="233"/>
      <c r="R422" s="303"/>
      <c r="S422" s="233"/>
      <c r="T422" s="233"/>
      <c r="U422" s="233"/>
      <c r="V422" s="233"/>
      <c r="W422" s="233"/>
      <c r="X422" s="233"/>
      <c r="Y422" s="233"/>
      <c r="Z422" s="233"/>
      <c r="AA422" s="233"/>
    </row>
    <row r="423" spans="4:27" s="139" customFormat="1">
      <c r="D423" s="191"/>
      <c r="N423" s="233"/>
      <c r="O423" s="233"/>
      <c r="P423" s="233"/>
      <c r="Q423" s="233"/>
      <c r="R423" s="303"/>
      <c r="S423" s="233"/>
      <c r="T423" s="233"/>
      <c r="U423" s="233"/>
      <c r="V423" s="233"/>
      <c r="W423" s="233"/>
      <c r="X423" s="233"/>
      <c r="Y423" s="233"/>
      <c r="Z423" s="233"/>
      <c r="AA423" s="233"/>
    </row>
    <row r="424" spans="4:27" s="139" customFormat="1">
      <c r="D424" s="191"/>
      <c r="N424" s="233"/>
      <c r="O424" s="233"/>
      <c r="P424" s="233"/>
      <c r="Q424" s="233"/>
      <c r="R424" s="303"/>
      <c r="S424" s="233"/>
      <c r="T424" s="233"/>
      <c r="U424" s="233"/>
      <c r="V424" s="233"/>
      <c r="W424" s="233"/>
      <c r="X424" s="233"/>
      <c r="Y424" s="233"/>
      <c r="Z424" s="233"/>
      <c r="AA424" s="233"/>
    </row>
    <row r="425" spans="4:27" s="139" customFormat="1">
      <c r="D425" s="191"/>
      <c r="N425" s="233"/>
      <c r="O425" s="233"/>
      <c r="P425" s="233"/>
      <c r="Q425" s="233"/>
      <c r="R425" s="303"/>
      <c r="S425" s="233"/>
      <c r="T425" s="233"/>
      <c r="U425" s="233"/>
      <c r="V425" s="233"/>
      <c r="W425" s="233"/>
      <c r="X425" s="233"/>
      <c r="Y425" s="233"/>
      <c r="Z425" s="233"/>
      <c r="AA425" s="233"/>
    </row>
    <row r="426" spans="4:27" s="139" customFormat="1">
      <c r="D426" s="191"/>
      <c r="N426" s="233"/>
      <c r="O426" s="233"/>
      <c r="P426" s="233"/>
      <c r="Q426" s="233"/>
      <c r="R426" s="303"/>
      <c r="S426" s="233"/>
      <c r="T426" s="233"/>
      <c r="U426" s="233"/>
      <c r="V426" s="233"/>
      <c r="W426" s="233"/>
      <c r="X426" s="233"/>
      <c r="Y426" s="233"/>
      <c r="Z426" s="233"/>
      <c r="AA426" s="233"/>
    </row>
    <row r="427" spans="4:27" s="139" customFormat="1">
      <c r="D427" s="191"/>
      <c r="N427" s="233"/>
      <c r="O427" s="233"/>
      <c r="P427" s="233"/>
      <c r="Q427" s="233"/>
      <c r="R427" s="303"/>
      <c r="S427" s="233"/>
      <c r="T427" s="233"/>
      <c r="U427" s="233"/>
      <c r="V427" s="233"/>
      <c r="W427" s="233"/>
      <c r="X427" s="233"/>
      <c r="Y427" s="233"/>
      <c r="Z427" s="233"/>
      <c r="AA427" s="233"/>
    </row>
    <row r="428" spans="4:27" s="139" customFormat="1">
      <c r="D428" s="191"/>
      <c r="N428" s="233"/>
      <c r="O428" s="233"/>
      <c r="P428" s="233"/>
      <c r="Q428" s="233"/>
      <c r="R428" s="303"/>
      <c r="S428" s="233"/>
      <c r="T428" s="233"/>
      <c r="U428" s="233"/>
      <c r="V428" s="233"/>
      <c r="W428" s="233"/>
      <c r="X428" s="233"/>
      <c r="Y428" s="233"/>
      <c r="Z428" s="233"/>
      <c r="AA428" s="233"/>
    </row>
    <row r="429" spans="4:27" s="139" customFormat="1">
      <c r="D429" s="191"/>
      <c r="N429" s="233"/>
      <c r="O429" s="233"/>
      <c r="P429" s="233"/>
      <c r="Q429" s="233"/>
      <c r="R429" s="303"/>
      <c r="S429" s="233"/>
      <c r="T429" s="233"/>
      <c r="U429" s="233"/>
      <c r="V429" s="233"/>
      <c r="W429" s="233"/>
      <c r="X429" s="233"/>
      <c r="Y429" s="233"/>
      <c r="Z429" s="233"/>
      <c r="AA429" s="233"/>
    </row>
    <row r="430" spans="4:27" s="139" customFormat="1">
      <c r="D430" s="191"/>
      <c r="N430" s="233"/>
      <c r="O430" s="233"/>
      <c r="P430" s="233"/>
      <c r="Q430" s="233"/>
      <c r="R430" s="303"/>
      <c r="S430" s="233"/>
      <c r="T430" s="233"/>
      <c r="U430" s="233"/>
      <c r="V430" s="233"/>
      <c r="W430" s="233"/>
      <c r="X430" s="233"/>
      <c r="Y430" s="233"/>
      <c r="Z430" s="233"/>
      <c r="AA430" s="233"/>
    </row>
    <row r="431" spans="4:27" s="139" customFormat="1">
      <c r="D431" s="191"/>
      <c r="N431" s="233"/>
      <c r="O431" s="233"/>
      <c r="P431" s="233"/>
      <c r="Q431" s="233"/>
      <c r="R431" s="303"/>
      <c r="S431" s="233"/>
      <c r="T431" s="233"/>
      <c r="U431" s="233"/>
      <c r="V431" s="233"/>
      <c r="W431" s="233"/>
      <c r="X431" s="233"/>
      <c r="Y431" s="233"/>
      <c r="Z431" s="233"/>
      <c r="AA431" s="233"/>
    </row>
    <row r="432" spans="4:27" s="139" customFormat="1">
      <c r="D432" s="191"/>
      <c r="N432" s="233"/>
      <c r="O432" s="233"/>
      <c r="P432" s="233"/>
      <c r="Q432" s="233"/>
      <c r="R432" s="303"/>
      <c r="S432" s="233"/>
      <c r="T432" s="233"/>
      <c r="U432" s="233"/>
      <c r="V432" s="233"/>
      <c r="W432" s="233"/>
      <c r="X432" s="233"/>
      <c r="Y432" s="233"/>
      <c r="Z432" s="233"/>
      <c r="AA432" s="233"/>
    </row>
    <row r="433" spans="4:27" s="139" customFormat="1">
      <c r="D433" s="191"/>
      <c r="N433" s="233"/>
      <c r="O433" s="233"/>
      <c r="P433" s="233"/>
      <c r="Q433" s="233"/>
      <c r="R433" s="303"/>
      <c r="S433" s="233"/>
      <c r="T433" s="233"/>
      <c r="U433" s="233"/>
      <c r="V433" s="233"/>
      <c r="W433" s="233"/>
      <c r="X433" s="233"/>
      <c r="Y433" s="233"/>
      <c r="Z433" s="233"/>
      <c r="AA433" s="233"/>
    </row>
    <row r="434" spans="4:27" s="139" customFormat="1">
      <c r="D434" s="191"/>
      <c r="N434" s="233"/>
      <c r="O434" s="233"/>
      <c r="P434" s="233"/>
      <c r="Q434" s="233"/>
      <c r="R434" s="303"/>
      <c r="S434" s="233"/>
      <c r="T434" s="233"/>
      <c r="U434" s="233"/>
      <c r="V434" s="233"/>
      <c r="W434" s="233"/>
      <c r="X434" s="233"/>
      <c r="Y434" s="233"/>
      <c r="Z434" s="233"/>
      <c r="AA434" s="233"/>
    </row>
    <row r="435" spans="4:27" s="139" customFormat="1">
      <c r="D435" s="191"/>
      <c r="N435" s="233"/>
      <c r="O435" s="233"/>
      <c r="P435" s="233"/>
      <c r="Q435" s="233"/>
      <c r="R435" s="303"/>
      <c r="S435" s="233"/>
      <c r="T435" s="233"/>
      <c r="U435" s="233"/>
      <c r="V435" s="233"/>
      <c r="W435" s="233"/>
      <c r="X435" s="233"/>
      <c r="Y435" s="233"/>
      <c r="Z435" s="233"/>
      <c r="AA435" s="233"/>
    </row>
    <row r="436" spans="4:27" s="139" customFormat="1">
      <c r="D436" s="191"/>
      <c r="N436" s="233"/>
      <c r="O436" s="233"/>
      <c r="P436" s="233"/>
      <c r="Q436" s="233"/>
      <c r="R436" s="303"/>
      <c r="S436" s="233"/>
      <c r="T436" s="233"/>
      <c r="U436" s="233"/>
      <c r="V436" s="233"/>
      <c r="W436" s="233"/>
      <c r="X436" s="233"/>
      <c r="Y436" s="233"/>
      <c r="Z436" s="233"/>
      <c r="AA436" s="233"/>
    </row>
    <row r="437" spans="4:27" s="139" customFormat="1">
      <c r="D437" s="191"/>
      <c r="N437" s="233"/>
      <c r="O437" s="233"/>
      <c r="P437" s="233"/>
      <c r="Q437" s="233"/>
      <c r="R437" s="303"/>
      <c r="S437" s="233"/>
      <c r="T437" s="233"/>
      <c r="U437" s="233"/>
      <c r="V437" s="233"/>
      <c r="W437" s="233"/>
      <c r="X437" s="233"/>
      <c r="Y437" s="233"/>
      <c r="Z437" s="233"/>
      <c r="AA437" s="233"/>
    </row>
    <row r="438" spans="4:27" s="139" customFormat="1">
      <c r="D438" s="191"/>
      <c r="N438" s="233"/>
      <c r="O438" s="233"/>
      <c r="P438" s="233"/>
      <c r="Q438" s="233"/>
      <c r="R438" s="303"/>
      <c r="S438" s="233"/>
      <c r="T438" s="233"/>
      <c r="U438" s="233"/>
      <c r="V438" s="233"/>
      <c r="W438" s="233"/>
      <c r="X438" s="233"/>
      <c r="Y438" s="233"/>
      <c r="Z438" s="233"/>
      <c r="AA438" s="233"/>
    </row>
    <row r="439" spans="4:27" s="139" customFormat="1">
      <c r="D439" s="191"/>
      <c r="N439" s="233"/>
      <c r="O439" s="233"/>
      <c r="P439" s="233"/>
      <c r="Q439" s="233"/>
      <c r="R439" s="303"/>
      <c r="S439" s="233"/>
      <c r="T439" s="233"/>
      <c r="U439" s="233"/>
      <c r="V439" s="233"/>
      <c r="W439" s="233"/>
      <c r="X439" s="233"/>
      <c r="Y439" s="233"/>
      <c r="Z439" s="233"/>
      <c r="AA439" s="233"/>
    </row>
    <row r="440" spans="4:27" s="139" customFormat="1">
      <c r="D440" s="191"/>
      <c r="N440" s="233"/>
      <c r="O440" s="233"/>
      <c r="P440" s="233"/>
      <c r="Q440" s="233"/>
      <c r="R440" s="303"/>
      <c r="S440" s="233"/>
      <c r="T440" s="233"/>
      <c r="U440" s="233"/>
      <c r="V440" s="233"/>
      <c r="W440" s="233"/>
      <c r="X440" s="233"/>
      <c r="Y440" s="233"/>
      <c r="Z440" s="233"/>
      <c r="AA440" s="233"/>
    </row>
    <row r="441" spans="4:27" s="139" customFormat="1">
      <c r="D441" s="191"/>
      <c r="N441" s="233"/>
      <c r="O441" s="233"/>
      <c r="P441" s="233"/>
      <c r="Q441" s="233"/>
      <c r="R441" s="303"/>
      <c r="S441" s="233"/>
      <c r="T441" s="233"/>
      <c r="U441" s="233"/>
      <c r="V441" s="233"/>
      <c r="W441" s="233"/>
      <c r="X441" s="233"/>
      <c r="Y441" s="233"/>
      <c r="Z441" s="233"/>
      <c r="AA441" s="233"/>
    </row>
    <row r="442" spans="4:27" s="139" customFormat="1">
      <c r="D442" s="191"/>
      <c r="N442" s="233"/>
      <c r="O442" s="233"/>
      <c r="P442" s="233"/>
      <c r="Q442" s="233"/>
      <c r="R442" s="303"/>
      <c r="S442" s="233"/>
      <c r="T442" s="233"/>
      <c r="U442" s="233"/>
      <c r="V442" s="233"/>
      <c r="W442" s="233"/>
      <c r="X442" s="233"/>
      <c r="Y442" s="233"/>
      <c r="Z442" s="233"/>
      <c r="AA442" s="233"/>
    </row>
    <row r="443" spans="4:27" s="139" customFormat="1">
      <c r="D443" s="191"/>
      <c r="N443" s="233"/>
      <c r="O443" s="233"/>
      <c r="P443" s="233"/>
      <c r="Q443" s="233"/>
      <c r="R443" s="303"/>
      <c r="S443" s="233"/>
      <c r="T443" s="233"/>
      <c r="U443" s="233"/>
      <c r="V443" s="233"/>
      <c r="W443" s="233"/>
      <c r="X443" s="233"/>
      <c r="Y443" s="233"/>
      <c r="Z443" s="233"/>
      <c r="AA443" s="233"/>
    </row>
    <row r="444" spans="4:27" s="139" customFormat="1">
      <c r="D444" s="191"/>
      <c r="N444" s="233"/>
      <c r="O444" s="233"/>
      <c r="P444" s="233"/>
      <c r="Q444" s="233"/>
      <c r="R444" s="303"/>
      <c r="S444" s="233"/>
      <c r="T444" s="233"/>
      <c r="U444" s="233"/>
      <c r="V444" s="233"/>
      <c r="W444" s="233"/>
      <c r="X444" s="233"/>
      <c r="Y444" s="233"/>
      <c r="Z444" s="233"/>
      <c r="AA444" s="233"/>
    </row>
    <row r="445" spans="4:27" s="139" customFormat="1">
      <c r="D445" s="191"/>
      <c r="N445" s="233"/>
      <c r="O445" s="233"/>
      <c r="P445" s="233"/>
      <c r="Q445" s="233"/>
      <c r="R445" s="303"/>
      <c r="S445" s="233"/>
      <c r="T445" s="233"/>
      <c r="U445" s="233"/>
      <c r="V445" s="233"/>
      <c r="W445" s="233"/>
      <c r="X445" s="233"/>
      <c r="Y445" s="233"/>
      <c r="Z445" s="233"/>
      <c r="AA445" s="233"/>
    </row>
    <row r="446" spans="4:27" s="139" customFormat="1">
      <c r="D446" s="191"/>
      <c r="N446" s="233"/>
      <c r="O446" s="233"/>
      <c r="P446" s="233"/>
      <c r="Q446" s="233"/>
      <c r="R446" s="303"/>
      <c r="S446" s="233"/>
      <c r="T446" s="233"/>
      <c r="U446" s="233"/>
      <c r="V446" s="233"/>
      <c r="W446" s="233"/>
      <c r="X446" s="233"/>
      <c r="Y446" s="233"/>
      <c r="Z446" s="233"/>
      <c r="AA446" s="233"/>
    </row>
    <row r="447" spans="4:27" s="139" customFormat="1">
      <c r="D447" s="191"/>
      <c r="N447" s="233"/>
      <c r="O447" s="233"/>
      <c r="P447" s="233"/>
      <c r="Q447" s="233"/>
      <c r="R447" s="303"/>
      <c r="S447" s="233"/>
      <c r="T447" s="233"/>
      <c r="U447" s="233"/>
      <c r="V447" s="233"/>
      <c r="W447" s="233"/>
      <c r="X447" s="233"/>
      <c r="Y447" s="233"/>
      <c r="Z447" s="233"/>
      <c r="AA447" s="233"/>
    </row>
    <row r="448" spans="4:27" s="139" customFormat="1">
      <c r="D448" s="191"/>
      <c r="N448" s="233"/>
      <c r="O448" s="233"/>
      <c r="P448" s="233"/>
      <c r="Q448" s="233"/>
      <c r="R448" s="303"/>
      <c r="S448" s="233"/>
      <c r="T448" s="233"/>
      <c r="U448" s="233"/>
      <c r="V448" s="233"/>
      <c r="W448" s="233"/>
      <c r="X448" s="233"/>
      <c r="Y448" s="233"/>
      <c r="Z448" s="233"/>
      <c r="AA448" s="233"/>
    </row>
    <row r="449" spans="3:27" s="139" customFormat="1">
      <c r="D449" s="191"/>
      <c r="N449" s="233"/>
      <c r="O449" s="233"/>
      <c r="P449" s="233"/>
      <c r="Q449" s="233"/>
      <c r="R449" s="303"/>
      <c r="S449" s="233"/>
      <c r="T449" s="233"/>
      <c r="U449" s="233"/>
      <c r="V449" s="233"/>
      <c r="W449" s="233"/>
      <c r="X449" s="233"/>
      <c r="Y449" s="233"/>
      <c r="Z449" s="233"/>
      <c r="AA449" s="233"/>
    </row>
    <row r="450" spans="3:27" s="139" customFormat="1">
      <c r="D450" s="191"/>
      <c r="N450" s="233"/>
      <c r="O450" s="233"/>
      <c r="P450" s="233"/>
      <c r="Q450" s="233"/>
      <c r="R450" s="303"/>
      <c r="S450" s="233"/>
      <c r="T450" s="233"/>
      <c r="U450" s="233"/>
      <c r="V450" s="233"/>
      <c r="W450" s="233"/>
      <c r="X450" s="233"/>
      <c r="Y450" s="233"/>
      <c r="Z450" s="233"/>
      <c r="AA450" s="233"/>
    </row>
    <row r="451" spans="3:27" s="139" customFormat="1">
      <c r="C451" s="1"/>
      <c r="D451" s="86"/>
      <c r="E451" s="1"/>
      <c r="F451" s="1"/>
      <c r="G451" s="1"/>
      <c r="H451" s="1"/>
      <c r="I451" s="1"/>
      <c r="J451" s="1"/>
      <c r="K451" s="1"/>
      <c r="L451" s="1"/>
      <c r="M451" s="110"/>
      <c r="N451" s="231"/>
      <c r="O451" s="231"/>
      <c r="P451" s="231"/>
      <c r="Q451" s="231"/>
      <c r="R451" s="232"/>
      <c r="S451" s="231"/>
      <c r="T451" s="304"/>
      <c r="U451" s="231"/>
      <c r="V451" s="231"/>
      <c r="W451" s="231"/>
      <c r="X451" s="231"/>
      <c r="Y451" s="231"/>
      <c r="Z451" s="231"/>
      <c r="AA451" s="304"/>
    </row>
    <row r="452" spans="3:27" s="139" customFormat="1">
      <c r="C452" s="1"/>
      <c r="D452" s="86"/>
      <c r="E452" s="1"/>
      <c r="F452" s="1"/>
      <c r="G452" s="1"/>
      <c r="H452" s="1"/>
      <c r="I452" s="1"/>
      <c r="J452" s="1"/>
      <c r="K452" s="1"/>
      <c r="L452" s="1"/>
      <c r="M452" s="110"/>
      <c r="N452" s="231"/>
      <c r="O452" s="231"/>
      <c r="P452" s="231"/>
      <c r="Q452" s="231"/>
      <c r="R452" s="232"/>
      <c r="S452" s="231"/>
      <c r="T452" s="304"/>
      <c r="U452" s="231"/>
      <c r="V452" s="231"/>
      <c r="W452" s="231"/>
      <c r="X452" s="231"/>
      <c r="Y452" s="231"/>
      <c r="Z452" s="231"/>
      <c r="AA452" s="304"/>
    </row>
    <row r="453" spans="3:27" s="139" customFormat="1">
      <c r="C453" s="1"/>
      <c r="D453" s="86"/>
      <c r="E453" s="1"/>
      <c r="F453" s="1"/>
      <c r="G453" s="1"/>
      <c r="H453" s="1"/>
      <c r="I453" s="1"/>
      <c r="J453" s="1"/>
      <c r="K453" s="1"/>
      <c r="L453" s="1"/>
      <c r="M453" s="110"/>
      <c r="N453" s="231"/>
      <c r="O453" s="231"/>
      <c r="P453" s="231"/>
      <c r="Q453" s="231"/>
      <c r="R453" s="232"/>
      <c r="S453" s="231"/>
      <c r="T453" s="304"/>
      <c r="U453" s="231"/>
      <c r="V453" s="231"/>
      <c r="W453" s="231"/>
      <c r="X453" s="231"/>
      <c r="Y453" s="231"/>
      <c r="Z453" s="231"/>
      <c r="AA453" s="304"/>
    </row>
    <row r="454" spans="3:27" s="139" customFormat="1">
      <c r="C454" s="1"/>
      <c r="D454" s="86"/>
      <c r="E454" s="1"/>
      <c r="F454" s="1"/>
      <c r="G454" s="1"/>
      <c r="H454" s="1"/>
      <c r="I454" s="1"/>
      <c r="J454" s="1"/>
      <c r="K454" s="1"/>
      <c r="L454" s="1"/>
      <c r="M454" s="110"/>
      <c r="N454" s="231"/>
      <c r="O454" s="231"/>
      <c r="P454" s="231"/>
      <c r="Q454" s="231"/>
      <c r="R454" s="232"/>
      <c r="S454" s="231"/>
      <c r="T454" s="304"/>
      <c r="U454" s="231"/>
      <c r="V454" s="231"/>
      <c r="W454" s="231"/>
      <c r="X454" s="231"/>
      <c r="Y454" s="231"/>
      <c r="Z454" s="231"/>
      <c r="AA454" s="304"/>
    </row>
  </sheetData>
  <mergeCells count="114">
    <mergeCell ref="AE44:AE45"/>
    <mergeCell ref="Y54:AA54"/>
    <mergeCell ref="D53:G53"/>
    <mergeCell ref="H53:J53"/>
    <mergeCell ref="K53:M53"/>
    <mergeCell ref="O53:U53"/>
    <mergeCell ref="V53:X53"/>
    <mergeCell ref="Y53:AA53"/>
    <mergeCell ref="D54:G54"/>
    <mergeCell ref="H54:J54"/>
    <mergeCell ref="K54:M54"/>
    <mergeCell ref="O54:U54"/>
    <mergeCell ref="V54:X54"/>
    <mergeCell ref="D51:G51"/>
    <mergeCell ref="H51:J51"/>
    <mergeCell ref="K51:M51"/>
    <mergeCell ref="O51:U51"/>
    <mergeCell ref="V51:X51"/>
    <mergeCell ref="Y52:AA52"/>
    <mergeCell ref="H50:J50"/>
    <mergeCell ref="Y51:AA51"/>
    <mergeCell ref="D52:G52"/>
    <mergeCell ref="H52:J52"/>
    <mergeCell ref="K52:M52"/>
    <mergeCell ref="O52:U52"/>
    <mergeCell ref="V52:X52"/>
    <mergeCell ref="F24:F25"/>
    <mergeCell ref="AB2:AC2"/>
    <mergeCell ref="AA49:AB49"/>
    <mergeCell ref="C42:C43"/>
    <mergeCell ref="D42:D43"/>
    <mergeCell ref="E42:E43"/>
    <mergeCell ref="F42:F43"/>
    <mergeCell ref="C44:F45"/>
    <mergeCell ref="F40:F41"/>
    <mergeCell ref="K50:M50"/>
    <mergeCell ref="V50:X50"/>
    <mergeCell ref="Y50:AA50"/>
    <mergeCell ref="C18:C19"/>
    <mergeCell ref="D18:D19"/>
    <mergeCell ref="E18:E19"/>
    <mergeCell ref="F18:F19"/>
    <mergeCell ref="C20:C21"/>
    <mergeCell ref="D20:D21"/>
    <mergeCell ref="E20:E21"/>
    <mergeCell ref="F20:F21"/>
    <mergeCell ref="C46:F47"/>
    <mergeCell ref="C34:C35"/>
    <mergeCell ref="D34:D35"/>
    <mergeCell ref="E34:E35"/>
    <mergeCell ref="F34:F35"/>
    <mergeCell ref="C36:C37"/>
    <mergeCell ref="D36:D37"/>
    <mergeCell ref="E36:E37"/>
    <mergeCell ref="F36:F37"/>
    <mergeCell ref="C38:C39"/>
    <mergeCell ref="D38:D39"/>
    <mergeCell ref="E38:E39"/>
    <mergeCell ref="F38:F39"/>
    <mergeCell ref="C40:C41"/>
    <mergeCell ref="D40:D41"/>
    <mergeCell ref="E40:E41"/>
    <mergeCell ref="C16:C17"/>
    <mergeCell ref="C1:N1"/>
    <mergeCell ref="C4:C5"/>
    <mergeCell ref="D4:D5"/>
    <mergeCell ref="E4:E5"/>
    <mergeCell ref="F4:F5"/>
    <mergeCell ref="C6:C7"/>
    <mergeCell ref="D6:D7"/>
    <mergeCell ref="E6:E7"/>
    <mergeCell ref="F6:F7"/>
    <mergeCell ref="D16:D17"/>
    <mergeCell ref="E16:E17"/>
    <mergeCell ref="F16:F17"/>
    <mergeCell ref="C8:C9"/>
    <mergeCell ref="D8:D9"/>
    <mergeCell ref="E8:E9"/>
    <mergeCell ref="F8:F9"/>
    <mergeCell ref="C10:C11"/>
    <mergeCell ref="D10:D11"/>
    <mergeCell ref="E10:E11"/>
    <mergeCell ref="F10:F11"/>
    <mergeCell ref="C12:C13"/>
    <mergeCell ref="D12:D13"/>
    <mergeCell ref="E12:E13"/>
    <mergeCell ref="F12:F13"/>
    <mergeCell ref="C32:C33"/>
    <mergeCell ref="D32:D33"/>
    <mergeCell ref="E32:E33"/>
    <mergeCell ref="F32:F33"/>
    <mergeCell ref="C22:C23"/>
    <mergeCell ref="D22:D23"/>
    <mergeCell ref="E22:E23"/>
    <mergeCell ref="F22:F23"/>
    <mergeCell ref="C30:C31"/>
    <mergeCell ref="D30:D31"/>
    <mergeCell ref="E30:E31"/>
    <mergeCell ref="F30:F31"/>
    <mergeCell ref="C14:C15"/>
    <mergeCell ref="D14:D15"/>
    <mergeCell ref="E14:E15"/>
    <mergeCell ref="F14:F15"/>
    <mergeCell ref="C26:C27"/>
    <mergeCell ref="D26:D27"/>
    <mergeCell ref="E26:E27"/>
    <mergeCell ref="F26:F27"/>
    <mergeCell ref="C28:C29"/>
    <mergeCell ref="D28:D29"/>
    <mergeCell ref="E28:E29"/>
    <mergeCell ref="F28:F29"/>
    <mergeCell ref="C24:C25"/>
    <mergeCell ref="D24:D25"/>
    <mergeCell ref="E24:E25"/>
  </mergeCells>
  <phoneticPr fontId="10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A1DF-143B-44F4-A21B-9B6603EB1B9D}">
  <dimension ref="B1:BF28"/>
  <sheetViews>
    <sheetView topLeftCell="C1" zoomScale="85" zoomScaleNormal="85" workbookViewId="0">
      <selection activeCell="X31" sqref="X31"/>
    </sheetView>
  </sheetViews>
  <sheetFormatPr defaultRowHeight="15"/>
  <cols>
    <col min="1" max="2" width="9" customWidth="1"/>
    <col min="3" max="3" width="10.28515625" customWidth="1"/>
    <col min="4" max="4" width="7.28515625" bestFit="1" customWidth="1"/>
    <col min="5" max="5" width="3.85546875" customWidth="1"/>
    <col min="6" max="6" width="4.85546875" customWidth="1"/>
    <col min="7" max="7" width="5" customWidth="1"/>
    <col min="8" max="8" width="4.85546875" customWidth="1"/>
    <col min="9" max="17" width="3.85546875" customWidth="1"/>
    <col min="18" max="20" width="4.85546875" customWidth="1"/>
    <col min="21" max="29" width="6.28515625" bestFit="1" customWidth="1"/>
    <col min="30" max="32" width="4.85546875" bestFit="1" customWidth="1"/>
    <col min="33" max="41" width="4" bestFit="1" customWidth="1"/>
    <col min="42" max="44" width="5" bestFit="1" customWidth="1"/>
    <col min="45" max="52" width="4" bestFit="1" customWidth="1"/>
    <col min="53" max="53" width="5" customWidth="1"/>
    <col min="54" max="56" width="5" bestFit="1" customWidth="1"/>
  </cols>
  <sheetData>
    <row r="1" spans="2:58" ht="15.75" thickBot="1"/>
    <row r="2" spans="2:58" ht="28.5">
      <c r="C2" s="786" t="s">
        <v>197</v>
      </c>
      <c r="D2" s="787"/>
      <c r="E2" s="787"/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787"/>
      <c r="AA2" s="787"/>
      <c r="AB2" s="787"/>
      <c r="AC2" s="787"/>
      <c r="AD2" s="787"/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8"/>
    </row>
    <row r="3" spans="2:58" ht="15" customHeight="1">
      <c r="B3" s="347"/>
      <c r="C3" s="789" t="s">
        <v>198</v>
      </c>
      <c r="D3" s="790"/>
      <c r="E3" s="791" t="s">
        <v>199</v>
      </c>
      <c r="F3" s="792"/>
      <c r="G3" s="792"/>
      <c r="H3" s="793"/>
      <c r="I3" s="794" t="s">
        <v>187</v>
      </c>
      <c r="J3" s="792"/>
      <c r="K3" s="792"/>
      <c r="L3" s="792"/>
      <c r="M3" s="792"/>
      <c r="N3" s="792"/>
      <c r="O3" s="792"/>
      <c r="P3" s="792"/>
      <c r="Q3" s="792"/>
      <c r="R3" s="792"/>
      <c r="S3" s="792"/>
      <c r="T3" s="793"/>
      <c r="U3" s="795" t="s">
        <v>188</v>
      </c>
      <c r="V3" s="796"/>
      <c r="W3" s="796"/>
      <c r="X3" s="796"/>
      <c r="Y3" s="796"/>
      <c r="Z3" s="796"/>
      <c r="AA3" s="796"/>
      <c r="AB3" s="796"/>
      <c r="AC3" s="796"/>
      <c r="AD3" s="796"/>
      <c r="AE3" s="796"/>
      <c r="AF3" s="797"/>
      <c r="AG3" s="798" t="s">
        <v>189</v>
      </c>
      <c r="AH3" s="796"/>
      <c r="AI3" s="796"/>
      <c r="AJ3" s="796"/>
      <c r="AK3" s="796"/>
      <c r="AL3" s="796"/>
      <c r="AM3" s="796"/>
      <c r="AN3" s="796"/>
      <c r="AO3" s="796"/>
      <c r="AP3" s="796"/>
      <c r="AQ3" s="796"/>
      <c r="AR3" s="791"/>
      <c r="AS3" s="795" t="s">
        <v>190</v>
      </c>
      <c r="AT3" s="796"/>
      <c r="AU3" s="796"/>
      <c r="AV3" s="796"/>
      <c r="AW3" s="796"/>
      <c r="AX3" s="796"/>
      <c r="AY3" s="796"/>
      <c r="AZ3" s="796"/>
      <c r="BA3" s="796"/>
      <c r="BB3" s="796"/>
      <c r="BC3" s="796"/>
      <c r="BD3" s="791"/>
      <c r="BE3" s="799" t="s">
        <v>200</v>
      </c>
      <c r="BF3" s="800"/>
    </row>
    <row r="4" spans="2:58" s="355" customFormat="1" ht="27.75" customHeight="1" thickBot="1">
      <c r="B4" s="348"/>
      <c r="C4" s="768" t="s">
        <v>201</v>
      </c>
      <c r="D4" s="769"/>
      <c r="E4" s="349" t="s">
        <v>9</v>
      </c>
      <c r="F4" s="350" t="s">
        <v>10</v>
      </c>
      <c r="G4" s="350" t="s">
        <v>11</v>
      </c>
      <c r="H4" s="351" t="s">
        <v>12</v>
      </c>
      <c r="I4" s="352" t="s">
        <v>14</v>
      </c>
      <c r="J4" s="350" t="s">
        <v>202</v>
      </c>
      <c r="K4" s="350" t="s">
        <v>203</v>
      </c>
      <c r="L4" s="350" t="s">
        <v>204</v>
      </c>
      <c r="M4" s="350" t="s">
        <v>205</v>
      </c>
      <c r="N4" s="350" t="s">
        <v>206</v>
      </c>
      <c r="O4" s="350" t="s">
        <v>207</v>
      </c>
      <c r="P4" s="350" t="s">
        <v>8</v>
      </c>
      <c r="Q4" s="350" t="s">
        <v>9</v>
      </c>
      <c r="R4" s="350" t="s">
        <v>10</v>
      </c>
      <c r="S4" s="350" t="s">
        <v>11</v>
      </c>
      <c r="T4" s="353" t="s">
        <v>12</v>
      </c>
      <c r="U4" s="352" t="s">
        <v>14</v>
      </c>
      <c r="V4" s="350" t="s">
        <v>202</v>
      </c>
      <c r="W4" s="350" t="s">
        <v>203</v>
      </c>
      <c r="X4" s="350" t="s">
        <v>204</v>
      </c>
      <c r="Y4" s="350" t="s">
        <v>205</v>
      </c>
      <c r="Z4" s="350" t="s">
        <v>206</v>
      </c>
      <c r="AA4" s="350" t="s">
        <v>207</v>
      </c>
      <c r="AB4" s="350" t="s">
        <v>8</v>
      </c>
      <c r="AC4" s="350" t="s">
        <v>9</v>
      </c>
      <c r="AD4" s="350" t="s">
        <v>10</v>
      </c>
      <c r="AE4" s="350" t="s">
        <v>11</v>
      </c>
      <c r="AF4" s="353" t="s">
        <v>12</v>
      </c>
      <c r="AG4" s="349" t="s">
        <v>14</v>
      </c>
      <c r="AH4" s="350" t="s">
        <v>202</v>
      </c>
      <c r="AI4" s="350" t="s">
        <v>203</v>
      </c>
      <c r="AJ4" s="350" t="s">
        <v>204</v>
      </c>
      <c r="AK4" s="350" t="s">
        <v>205</v>
      </c>
      <c r="AL4" s="350" t="s">
        <v>206</v>
      </c>
      <c r="AM4" s="350" t="s">
        <v>207</v>
      </c>
      <c r="AN4" s="350" t="s">
        <v>8</v>
      </c>
      <c r="AO4" s="350" t="s">
        <v>9</v>
      </c>
      <c r="AP4" s="350" t="s">
        <v>10</v>
      </c>
      <c r="AQ4" s="350" t="s">
        <v>11</v>
      </c>
      <c r="AR4" s="351" t="s">
        <v>12</v>
      </c>
      <c r="AS4" s="352" t="s">
        <v>14</v>
      </c>
      <c r="AT4" s="350" t="s">
        <v>202</v>
      </c>
      <c r="AU4" s="350" t="s">
        <v>203</v>
      </c>
      <c r="AV4" s="350" t="s">
        <v>204</v>
      </c>
      <c r="AW4" s="350" t="s">
        <v>205</v>
      </c>
      <c r="AX4" s="350" t="s">
        <v>206</v>
      </c>
      <c r="AY4" s="350" t="s">
        <v>207</v>
      </c>
      <c r="AZ4" s="350" t="s">
        <v>8</v>
      </c>
      <c r="BA4" s="350" t="s">
        <v>9</v>
      </c>
      <c r="BB4" s="350" t="s">
        <v>10</v>
      </c>
      <c r="BC4" s="350" t="s">
        <v>11</v>
      </c>
      <c r="BD4" s="351" t="s">
        <v>12</v>
      </c>
      <c r="BE4" s="354" t="s">
        <v>208</v>
      </c>
      <c r="BF4" s="354" t="s">
        <v>209</v>
      </c>
    </row>
    <row r="5" spans="2:58" ht="16.5" thickTop="1">
      <c r="B5" s="770" t="s">
        <v>210</v>
      </c>
      <c r="C5" s="757">
        <v>1</v>
      </c>
      <c r="D5" s="356" t="s">
        <v>211</v>
      </c>
      <c r="E5" s="357">
        <f t="shared" ref="E5:P5" si="0">1000/2/24</f>
        <v>20.833333333333332</v>
      </c>
      <c r="F5" s="358">
        <f t="shared" si="0"/>
        <v>20.833333333333332</v>
      </c>
      <c r="G5" s="358">
        <f t="shared" si="0"/>
        <v>20.833333333333332</v>
      </c>
      <c r="H5" s="359">
        <f t="shared" si="0"/>
        <v>20.833333333333332</v>
      </c>
      <c r="I5" s="360">
        <f t="shared" si="0"/>
        <v>20.833333333333332</v>
      </c>
      <c r="J5" s="361">
        <f t="shared" si="0"/>
        <v>20.833333333333332</v>
      </c>
      <c r="K5" s="361">
        <f t="shared" si="0"/>
        <v>20.833333333333332</v>
      </c>
      <c r="L5" s="361">
        <f t="shared" si="0"/>
        <v>20.833333333333332</v>
      </c>
      <c r="M5" s="361">
        <f t="shared" si="0"/>
        <v>20.833333333333332</v>
      </c>
      <c r="N5" s="361">
        <f t="shared" si="0"/>
        <v>20.833333333333332</v>
      </c>
      <c r="O5" s="361">
        <f t="shared" si="0"/>
        <v>20.833333333333332</v>
      </c>
      <c r="P5" s="361">
        <f t="shared" si="0"/>
        <v>20.833333333333332</v>
      </c>
      <c r="Q5" s="361">
        <f>1000/2/24+128/12</f>
        <v>31.5</v>
      </c>
      <c r="R5" s="358">
        <f>1000/2/24+128/12</f>
        <v>31.5</v>
      </c>
      <c r="S5" s="358">
        <f>1000/2/24+128/12</f>
        <v>31.5</v>
      </c>
      <c r="T5" s="359">
        <f>1000/2/24+128/12</f>
        <v>31.5</v>
      </c>
      <c r="U5" s="362">
        <f>1000/2/24+128/12</f>
        <v>31.5</v>
      </c>
      <c r="V5" s="363">
        <f>U5</f>
        <v>31.5</v>
      </c>
      <c r="W5" s="363">
        <f>V5</f>
        <v>31.5</v>
      </c>
      <c r="X5" s="363">
        <f t="shared" ref="X5:AB5" si="1">W5</f>
        <v>31.5</v>
      </c>
      <c r="Y5" s="363">
        <f t="shared" si="1"/>
        <v>31.5</v>
      </c>
      <c r="Z5" s="363">
        <f t="shared" si="1"/>
        <v>31.5</v>
      </c>
      <c r="AA5" s="363">
        <f t="shared" si="1"/>
        <v>31.5</v>
      </c>
      <c r="AB5" s="364">
        <f t="shared" si="1"/>
        <v>31.5</v>
      </c>
      <c r="AC5" s="365">
        <f>128/2/12</f>
        <v>5.333333333333333</v>
      </c>
      <c r="AD5" s="365">
        <f>128/2/12</f>
        <v>5.333333333333333</v>
      </c>
      <c r="AE5" s="366">
        <f>AD5</f>
        <v>5.333333333333333</v>
      </c>
      <c r="AF5" s="367">
        <f t="shared" ref="AF5:BD5" si="2">AE5</f>
        <v>5.333333333333333</v>
      </c>
      <c r="AG5" s="368">
        <f t="shared" si="2"/>
        <v>5.333333333333333</v>
      </c>
      <c r="AH5" s="369">
        <f t="shared" si="2"/>
        <v>5.333333333333333</v>
      </c>
      <c r="AI5" s="369">
        <f t="shared" si="2"/>
        <v>5.333333333333333</v>
      </c>
      <c r="AJ5" s="369">
        <f t="shared" si="2"/>
        <v>5.333333333333333</v>
      </c>
      <c r="AK5" s="369">
        <f t="shared" si="2"/>
        <v>5.333333333333333</v>
      </c>
      <c r="AL5" s="369">
        <f t="shared" si="2"/>
        <v>5.333333333333333</v>
      </c>
      <c r="AM5" s="369">
        <f t="shared" si="2"/>
        <v>5.333333333333333</v>
      </c>
      <c r="AN5" s="369">
        <f t="shared" si="2"/>
        <v>5.333333333333333</v>
      </c>
      <c r="AO5" s="369">
        <f t="shared" si="2"/>
        <v>5.333333333333333</v>
      </c>
      <c r="AP5" s="369">
        <f t="shared" si="2"/>
        <v>5.333333333333333</v>
      </c>
      <c r="AQ5" s="369">
        <f t="shared" si="2"/>
        <v>5.333333333333333</v>
      </c>
      <c r="AR5" s="370">
        <f t="shared" si="2"/>
        <v>5.333333333333333</v>
      </c>
      <c r="AS5" s="365">
        <f t="shared" si="2"/>
        <v>5.333333333333333</v>
      </c>
      <c r="AT5" s="366">
        <f t="shared" si="2"/>
        <v>5.333333333333333</v>
      </c>
      <c r="AU5" s="366">
        <f t="shared" si="2"/>
        <v>5.333333333333333</v>
      </c>
      <c r="AV5" s="366">
        <f t="shared" si="2"/>
        <v>5.333333333333333</v>
      </c>
      <c r="AW5" s="366">
        <f t="shared" si="2"/>
        <v>5.333333333333333</v>
      </c>
      <c r="AX5" s="366">
        <f t="shared" si="2"/>
        <v>5.333333333333333</v>
      </c>
      <c r="AY5" s="366">
        <f t="shared" si="2"/>
        <v>5.333333333333333</v>
      </c>
      <c r="AZ5" s="366">
        <f t="shared" si="2"/>
        <v>5.333333333333333</v>
      </c>
      <c r="BA5" s="366">
        <f t="shared" si="2"/>
        <v>5.333333333333333</v>
      </c>
      <c r="BB5" s="366">
        <f t="shared" si="2"/>
        <v>5.333333333333333</v>
      </c>
      <c r="BC5" s="366">
        <f t="shared" si="2"/>
        <v>5.333333333333333</v>
      </c>
      <c r="BD5" s="366">
        <f t="shared" si="2"/>
        <v>5.333333333333333</v>
      </c>
      <c r="BE5" s="371">
        <f>SUM(E5:AB5)</f>
        <v>628</v>
      </c>
      <c r="BF5" s="372">
        <f>SUM(AC5:BD5)</f>
        <v>149.33333333333331</v>
      </c>
    </row>
    <row r="6" spans="2:58" ht="15.75">
      <c r="B6" s="756"/>
      <c r="C6" s="747"/>
      <c r="D6" s="373" t="s">
        <v>212</v>
      </c>
      <c r="E6" s="772">
        <f>199/2</f>
        <v>99.5</v>
      </c>
      <c r="F6" s="773"/>
      <c r="G6" s="773"/>
      <c r="H6" s="774"/>
      <c r="I6" s="775">
        <f>1076/2-48</f>
        <v>490</v>
      </c>
      <c r="J6" s="776"/>
      <c r="K6" s="776"/>
      <c r="L6" s="776"/>
      <c r="M6" s="776"/>
      <c r="N6" s="776"/>
      <c r="O6" s="776"/>
      <c r="P6" s="776"/>
      <c r="Q6" s="776"/>
      <c r="R6" s="776"/>
      <c r="S6" s="776"/>
      <c r="T6" s="777"/>
      <c r="U6" s="744">
        <f>175/4</f>
        <v>43.75</v>
      </c>
      <c r="V6" s="745"/>
      <c r="W6" s="745"/>
      <c r="X6" s="745"/>
      <c r="Y6" s="745"/>
      <c r="Z6" s="745"/>
      <c r="AA6" s="745"/>
      <c r="AB6" s="785"/>
      <c r="AC6" s="374"/>
      <c r="AD6" s="375"/>
      <c r="AE6" s="376"/>
      <c r="AF6" s="377"/>
      <c r="AG6" s="378"/>
      <c r="AH6" s="376"/>
      <c r="AI6" s="376"/>
      <c r="AJ6" s="376"/>
      <c r="AK6" s="376"/>
      <c r="AL6" s="376"/>
      <c r="AM6" s="376"/>
      <c r="AN6" s="376"/>
      <c r="AO6" s="376"/>
      <c r="AP6" s="376"/>
      <c r="AQ6" s="376"/>
      <c r="AR6" s="379"/>
      <c r="AS6" s="378"/>
      <c r="AT6" s="376"/>
      <c r="AU6" s="376"/>
      <c r="AV6" s="376"/>
      <c r="AW6" s="376"/>
      <c r="AX6" s="376"/>
      <c r="AY6" s="376"/>
      <c r="AZ6" s="376"/>
      <c r="BA6" s="376"/>
      <c r="BB6" s="376"/>
      <c r="BC6" s="376"/>
      <c r="BD6" s="377"/>
      <c r="BE6" s="380">
        <f>SUM(E6:AC6)</f>
        <v>633.25</v>
      </c>
      <c r="BF6" s="381">
        <f>SUM(AC6:BD6)</f>
        <v>0</v>
      </c>
    </row>
    <row r="7" spans="2:58" ht="15.75">
      <c r="B7" s="756"/>
      <c r="C7" s="747">
        <v>2</v>
      </c>
      <c r="D7" s="382" t="s">
        <v>211</v>
      </c>
      <c r="E7" s="383">
        <f t="shared" ref="E7:P7" si="3">1000/2/24</f>
        <v>20.833333333333332</v>
      </c>
      <c r="F7" s="384">
        <f t="shared" si="3"/>
        <v>20.833333333333332</v>
      </c>
      <c r="G7" s="384">
        <f t="shared" si="3"/>
        <v>20.833333333333332</v>
      </c>
      <c r="H7" s="385">
        <f t="shared" si="3"/>
        <v>20.833333333333332</v>
      </c>
      <c r="I7" s="383">
        <f t="shared" si="3"/>
        <v>20.833333333333332</v>
      </c>
      <c r="J7" s="386">
        <f t="shared" si="3"/>
        <v>20.833333333333332</v>
      </c>
      <c r="K7" s="386">
        <f t="shared" si="3"/>
        <v>20.833333333333332</v>
      </c>
      <c r="L7" s="386">
        <f t="shared" si="3"/>
        <v>20.833333333333332</v>
      </c>
      <c r="M7" s="386">
        <f t="shared" si="3"/>
        <v>20.833333333333332</v>
      </c>
      <c r="N7" s="386">
        <f t="shared" si="3"/>
        <v>20.833333333333332</v>
      </c>
      <c r="O7" s="386">
        <f t="shared" si="3"/>
        <v>20.833333333333332</v>
      </c>
      <c r="P7" s="386">
        <f t="shared" si="3"/>
        <v>20.833333333333332</v>
      </c>
      <c r="Q7" s="386">
        <f>1000/2/24+128/12</f>
        <v>31.5</v>
      </c>
      <c r="R7" s="384">
        <f>1000/2/24+128/12</f>
        <v>31.5</v>
      </c>
      <c r="S7" s="384">
        <f t="shared" ref="S7:AH11" si="4">1000/2/24+128/12</f>
        <v>31.5</v>
      </c>
      <c r="T7" s="387">
        <f t="shared" si="4"/>
        <v>31.5</v>
      </c>
      <c r="U7" s="388">
        <f t="shared" si="4"/>
        <v>31.5</v>
      </c>
      <c r="V7" s="384">
        <f t="shared" si="4"/>
        <v>31.5</v>
      </c>
      <c r="W7" s="384">
        <f t="shared" si="4"/>
        <v>31.5</v>
      </c>
      <c r="X7" s="384">
        <f t="shared" si="4"/>
        <v>31.5</v>
      </c>
      <c r="Y7" s="384">
        <f t="shared" si="4"/>
        <v>31.5</v>
      </c>
      <c r="Z7" s="384">
        <f t="shared" si="4"/>
        <v>31.5</v>
      </c>
      <c r="AA7" s="384">
        <f t="shared" si="4"/>
        <v>31.5</v>
      </c>
      <c r="AB7" s="389">
        <f>1000/2/24+128/12</f>
        <v>31.5</v>
      </c>
      <c r="AC7" s="390">
        <f>128/2/12</f>
        <v>5.333333333333333</v>
      </c>
      <c r="AD7" s="390">
        <f>128/2/12</f>
        <v>5.333333333333333</v>
      </c>
      <c r="AE7" s="391">
        <f>AD7</f>
        <v>5.333333333333333</v>
      </c>
      <c r="AF7" s="392">
        <f t="shared" ref="AF7:BD7" si="5">AE7</f>
        <v>5.333333333333333</v>
      </c>
      <c r="AG7" s="393">
        <f t="shared" si="5"/>
        <v>5.333333333333333</v>
      </c>
      <c r="AH7" s="391">
        <f t="shared" si="5"/>
        <v>5.333333333333333</v>
      </c>
      <c r="AI7" s="391">
        <f t="shared" si="5"/>
        <v>5.333333333333333</v>
      </c>
      <c r="AJ7" s="391">
        <f t="shared" si="5"/>
        <v>5.333333333333333</v>
      </c>
      <c r="AK7" s="391">
        <f t="shared" si="5"/>
        <v>5.333333333333333</v>
      </c>
      <c r="AL7" s="391">
        <f t="shared" si="5"/>
        <v>5.333333333333333</v>
      </c>
      <c r="AM7" s="391">
        <f t="shared" si="5"/>
        <v>5.333333333333333</v>
      </c>
      <c r="AN7" s="391">
        <f t="shared" si="5"/>
        <v>5.333333333333333</v>
      </c>
      <c r="AO7" s="391">
        <f t="shared" si="5"/>
        <v>5.333333333333333</v>
      </c>
      <c r="AP7" s="391">
        <f t="shared" si="5"/>
        <v>5.333333333333333</v>
      </c>
      <c r="AQ7" s="391">
        <f t="shared" si="5"/>
        <v>5.333333333333333</v>
      </c>
      <c r="AR7" s="394">
        <f t="shared" si="5"/>
        <v>5.333333333333333</v>
      </c>
      <c r="AS7" s="390">
        <f t="shared" si="5"/>
        <v>5.333333333333333</v>
      </c>
      <c r="AT7" s="391">
        <f t="shared" si="5"/>
        <v>5.333333333333333</v>
      </c>
      <c r="AU7" s="391">
        <f t="shared" si="5"/>
        <v>5.333333333333333</v>
      </c>
      <c r="AV7" s="391">
        <f t="shared" si="5"/>
        <v>5.333333333333333</v>
      </c>
      <c r="AW7" s="391">
        <f t="shared" si="5"/>
        <v>5.333333333333333</v>
      </c>
      <c r="AX7" s="391">
        <f t="shared" si="5"/>
        <v>5.333333333333333</v>
      </c>
      <c r="AY7" s="391">
        <f t="shared" si="5"/>
        <v>5.333333333333333</v>
      </c>
      <c r="AZ7" s="391">
        <f t="shared" si="5"/>
        <v>5.333333333333333</v>
      </c>
      <c r="BA7" s="391">
        <f t="shared" si="5"/>
        <v>5.333333333333333</v>
      </c>
      <c r="BB7" s="391">
        <f t="shared" si="5"/>
        <v>5.333333333333333</v>
      </c>
      <c r="BC7" s="391">
        <f t="shared" si="5"/>
        <v>5.333333333333333</v>
      </c>
      <c r="BD7" s="394">
        <f t="shared" si="5"/>
        <v>5.333333333333333</v>
      </c>
      <c r="BE7" s="395">
        <f>SUM(E7:AB7)</f>
        <v>628</v>
      </c>
      <c r="BF7" s="396">
        <f>SUM(AC7:BD7)</f>
        <v>149.33333333333331</v>
      </c>
    </row>
    <row r="8" spans="2:58" ht="15.75">
      <c r="B8" s="756"/>
      <c r="C8" s="747"/>
      <c r="D8" s="373" t="s">
        <v>212</v>
      </c>
      <c r="E8" s="772">
        <f>199/2</f>
        <v>99.5</v>
      </c>
      <c r="F8" s="773"/>
      <c r="G8" s="773"/>
      <c r="H8" s="774"/>
      <c r="I8" s="775">
        <f>1076/2-48</f>
        <v>490</v>
      </c>
      <c r="J8" s="776"/>
      <c r="K8" s="776"/>
      <c r="L8" s="776"/>
      <c r="M8" s="776"/>
      <c r="N8" s="776"/>
      <c r="O8" s="776"/>
      <c r="P8" s="776"/>
      <c r="Q8" s="776"/>
      <c r="R8" s="776"/>
      <c r="S8" s="776"/>
      <c r="T8" s="777"/>
      <c r="U8" s="744">
        <f>175/4</f>
        <v>43.75</v>
      </c>
      <c r="V8" s="745"/>
      <c r="W8" s="745"/>
      <c r="X8" s="745"/>
      <c r="Y8" s="745"/>
      <c r="Z8" s="745"/>
      <c r="AA8" s="745"/>
      <c r="AB8" s="785"/>
      <c r="AC8" s="397"/>
      <c r="AD8" s="375"/>
      <c r="AE8" s="376"/>
      <c r="AF8" s="398"/>
      <c r="AG8" s="375"/>
      <c r="AH8" s="376"/>
      <c r="AI8" s="376"/>
      <c r="AJ8" s="376"/>
      <c r="AK8" s="376"/>
      <c r="AL8" s="376"/>
      <c r="AM8" s="399"/>
      <c r="AN8" s="399"/>
      <c r="AO8" s="399"/>
      <c r="AP8" s="399"/>
      <c r="AQ8" s="399"/>
      <c r="AR8" s="400"/>
      <c r="AS8" s="401"/>
      <c r="AT8" s="399"/>
      <c r="AU8" s="399"/>
      <c r="AV8" s="399"/>
      <c r="AW8" s="399"/>
      <c r="AX8" s="399"/>
      <c r="AY8" s="399"/>
      <c r="AZ8" s="399"/>
      <c r="BA8" s="399"/>
      <c r="BB8" s="399"/>
      <c r="BC8" s="399"/>
      <c r="BD8" s="402"/>
      <c r="BE8" s="403">
        <f>SUM(E8:AC8)</f>
        <v>633.25</v>
      </c>
      <c r="BF8" s="381">
        <f>SUM(AC8:BD8)</f>
        <v>0</v>
      </c>
    </row>
    <row r="9" spans="2:58" ht="15.75">
      <c r="B9" s="756"/>
      <c r="C9" s="747">
        <v>3</v>
      </c>
      <c r="D9" s="382" t="s">
        <v>211</v>
      </c>
      <c r="E9" s="778"/>
      <c r="F9" s="779"/>
      <c r="G9" s="779"/>
      <c r="H9" s="779"/>
      <c r="I9" s="779"/>
      <c r="J9" s="779"/>
      <c r="K9" s="779"/>
      <c r="L9" s="779"/>
      <c r="M9" s="780"/>
      <c r="N9" s="384">
        <f t="shared" ref="N9:Y9" si="6">1000/2/24</f>
        <v>20.833333333333332</v>
      </c>
      <c r="O9" s="384">
        <f t="shared" si="6"/>
        <v>20.833333333333332</v>
      </c>
      <c r="P9" s="384">
        <f t="shared" si="6"/>
        <v>20.833333333333332</v>
      </c>
      <c r="Q9" s="384">
        <f t="shared" si="6"/>
        <v>20.833333333333332</v>
      </c>
      <c r="R9" s="384">
        <f t="shared" si="6"/>
        <v>20.833333333333332</v>
      </c>
      <c r="S9" s="384">
        <f t="shared" si="6"/>
        <v>20.833333333333332</v>
      </c>
      <c r="T9" s="385">
        <f t="shared" si="6"/>
        <v>20.833333333333332</v>
      </c>
      <c r="U9" s="404">
        <f t="shared" si="6"/>
        <v>20.833333333333332</v>
      </c>
      <c r="V9" s="384">
        <f t="shared" si="6"/>
        <v>20.833333333333332</v>
      </c>
      <c r="W9" s="384">
        <f t="shared" si="6"/>
        <v>20.833333333333332</v>
      </c>
      <c r="X9" s="384">
        <f t="shared" si="6"/>
        <v>20.833333333333332</v>
      </c>
      <c r="Y9" s="384">
        <f t="shared" si="6"/>
        <v>20.833333333333332</v>
      </c>
      <c r="Z9" s="384">
        <f>1000/2/24+128/12</f>
        <v>31.5</v>
      </c>
      <c r="AA9" s="384">
        <f>1000/2/24+128/12</f>
        <v>31.5</v>
      </c>
      <c r="AB9" s="384">
        <f t="shared" si="4"/>
        <v>31.5</v>
      </c>
      <c r="AC9" s="384">
        <f t="shared" si="4"/>
        <v>31.5</v>
      </c>
      <c r="AD9" s="384">
        <f t="shared" si="4"/>
        <v>31.5</v>
      </c>
      <c r="AE9" s="384">
        <f t="shared" si="4"/>
        <v>31.5</v>
      </c>
      <c r="AF9" s="385">
        <f t="shared" si="4"/>
        <v>31.5</v>
      </c>
      <c r="AG9" s="404">
        <f t="shared" si="4"/>
        <v>31.5</v>
      </c>
      <c r="AH9" s="384">
        <f t="shared" si="4"/>
        <v>31.5</v>
      </c>
      <c r="AI9" s="384">
        <f t="shared" ref="AI9:AK11" si="7">1000/2/24+128/12</f>
        <v>31.5</v>
      </c>
      <c r="AJ9" s="384">
        <f t="shared" si="7"/>
        <v>31.5</v>
      </c>
      <c r="AK9" s="389">
        <f t="shared" si="7"/>
        <v>31.5</v>
      </c>
      <c r="AL9" s="390">
        <f>128/2/12</f>
        <v>5.333333333333333</v>
      </c>
      <c r="AM9" s="405">
        <f>128/2/12</f>
        <v>5.333333333333333</v>
      </c>
      <c r="AN9" s="405">
        <f t="shared" ref="AN9:BD11" si="8">128/2/12</f>
        <v>5.333333333333333</v>
      </c>
      <c r="AO9" s="405">
        <f t="shared" si="8"/>
        <v>5.333333333333333</v>
      </c>
      <c r="AP9" s="405">
        <f t="shared" si="8"/>
        <v>5.333333333333333</v>
      </c>
      <c r="AQ9" s="405">
        <f t="shared" si="8"/>
        <v>5.333333333333333</v>
      </c>
      <c r="AR9" s="406">
        <f t="shared" si="8"/>
        <v>5.333333333333333</v>
      </c>
      <c r="AS9" s="393">
        <f t="shared" si="8"/>
        <v>5.333333333333333</v>
      </c>
      <c r="AT9" s="405">
        <f t="shared" si="8"/>
        <v>5.333333333333333</v>
      </c>
      <c r="AU9" s="405">
        <f t="shared" si="8"/>
        <v>5.333333333333333</v>
      </c>
      <c r="AV9" s="405">
        <f t="shared" si="8"/>
        <v>5.333333333333333</v>
      </c>
      <c r="AW9" s="405">
        <f t="shared" si="8"/>
        <v>5.333333333333333</v>
      </c>
      <c r="AX9" s="405">
        <f t="shared" si="8"/>
        <v>5.333333333333333</v>
      </c>
      <c r="AY9" s="405">
        <f t="shared" si="8"/>
        <v>5.333333333333333</v>
      </c>
      <c r="AZ9" s="405">
        <f t="shared" si="8"/>
        <v>5.333333333333333</v>
      </c>
      <c r="BA9" s="405">
        <f t="shared" si="8"/>
        <v>5.333333333333333</v>
      </c>
      <c r="BB9" s="405">
        <f t="shared" si="8"/>
        <v>5.333333333333333</v>
      </c>
      <c r="BC9" s="405">
        <f t="shared" si="8"/>
        <v>5.333333333333333</v>
      </c>
      <c r="BD9" s="405">
        <f t="shared" si="8"/>
        <v>5.333333333333333</v>
      </c>
      <c r="BE9" s="407">
        <f>SUM(N9:AK9)</f>
        <v>628</v>
      </c>
      <c r="BF9" s="396">
        <f>SUM(AL9:BD9)</f>
        <v>101.3333333333333</v>
      </c>
    </row>
    <row r="10" spans="2:58" ht="15.75">
      <c r="B10" s="756"/>
      <c r="C10" s="747"/>
      <c r="D10" s="373" t="s">
        <v>212</v>
      </c>
      <c r="E10" s="761"/>
      <c r="F10" s="762"/>
      <c r="G10" s="762"/>
      <c r="H10" s="762"/>
      <c r="I10" s="762"/>
      <c r="J10" s="762"/>
      <c r="K10" s="762"/>
      <c r="L10" s="762"/>
      <c r="M10" s="763"/>
      <c r="N10" s="784">
        <f>84/2+48</f>
        <v>90</v>
      </c>
      <c r="O10" s="773"/>
      <c r="P10" s="773"/>
      <c r="Q10" s="773"/>
      <c r="R10" s="773"/>
      <c r="S10" s="773"/>
      <c r="T10" s="774"/>
      <c r="U10" s="744">
        <f>175/4</f>
        <v>43.75</v>
      </c>
      <c r="V10" s="745"/>
      <c r="W10" s="745"/>
      <c r="X10" s="745"/>
      <c r="Y10" s="745"/>
      <c r="Z10" s="745"/>
      <c r="AA10" s="745"/>
      <c r="AB10" s="746"/>
      <c r="AC10" s="408"/>
      <c r="AD10" s="409"/>
      <c r="AE10" s="409"/>
      <c r="AF10" s="410"/>
      <c r="AG10" s="411"/>
      <c r="AH10" s="412"/>
      <c r="AI10" s="412"/>
      <c r="AJ10" s="412"/>
      <c r="AK10" s="413"/>
      <c r="AL10" s="375"/>
      <c r="AM10" s="414"/>
      <c r="AN10" s="399"/>
      <c r="AO10" s="399"/>
      <c r="AP10" s="399"/>
      <c r="AQ10" s="399"/>
      <c r="AR10" s="400"/>
      <c r="AS10" s="401"/>
      <c r="AT10" s="399"/>
      <c r="AU10" s="399"/>
      <c r="AV10" s="399"/>
      <c r="AW10" s="399"/>
      <c r="AX10" s="399"/>
      <c r="AY10" s="399"/>
      <c r="AZ10" s="399"/>
      <c r="BA10" s="399"/>
      <c r="BB10" s="399"/>
      <c r="BC10" s="399"/>
      <c r="BD10" s="402"/>
      <c r="BE10" s="403">
        <f>SUM(E10:AC10)</f>
        <v>133.75</v>
      </c>
      <c r="BF10" s="415">
        <f>SUM(AL10:BD10)</f>
        <v>0</v>
      </c>
    </row>
    <row r="11" spans="2:58" ht="15.75">
      <c r="B11" s="756"/>
      <c r="C11" s="747">
        <v>4</v>
      </c>
      <c r="D11" s="382" t="s">
        <v>211</v>
      </c>
      <c r="E11" s="761"/>
      <c r="F11" s="762"/>
      <c r="G11" s="762"/>
      <c r="H11" s="762"/>
      <c r="I11" s="762"/>
      <c r="J11" s="762"/>
      <c r="K11" s="762"/>
      <c r="L11" s="762"/>
      <c r="M11" s="763"/>
      <c r="N11" s="384">
        <f t="shared" ref="N11:Y11" si="9">1000/2/24</f>
        <v>20.833333333333332</v>
      </c>
      <c r="O11" s="384">
        <f t="shared" si="9"/>
        <v>20.833333333333332</v>
      </c>
      <c r="P11" s="384">
        <f t="shared" si="9"/>
        <v>20.833333333333332</v>
      </c>
      <c r="Q11" s="384">
        <f t="shared" si="9"/>
        <v>20.833333333333332</v>
      </c>
      <c r="R11" s="384">
        <f t="shared" si="9"/>
        <v>20.833333333333332</v>
      </c>
      <c r="S11" s="384">
        <f t="shared" si="9"/>
        <v>20.833333333333332</v>
      </c>
      <c r="T11" s="385">
        <f t="shared" si="9"/>
        <v>20.833333333333332</v>
      </c>
      <c r="U11" s="404">
        <f t="shared" si="9"/>
        <v>20.833333333333332</v>
      </c>
      <c r="V11" s="384">
        <f t="shared" si="9"/>
        <v>20.833333333333332</v>
      </c>
      <c r="W11" s="384">
        <f t="shared" si="9"/>
        <v>20.833333333333332</v>
      </c>
      <c r="X11" s="384">
        <f t="shared" si="9"/>
        <v>20.833333333333332</v>
      </c>
      <c r="Y11" s="384">
        <f t="shared" si="9"/>
        <v>20.833333333333332</v>
      </c>
      <c r="Z11" s="384">
        <f>1000/2/24+128/12</f>
        <v>31.5</v>
      </c>
      <c r="AA11" s="384">
        <f>1000/2/24+128/12</f>
        <v>31.5</v>
      </c>
      <c r="AB11" s="384">
        <f t="shared" si="4"/>
        <v>31.5</v>
      </c>
      <c r="AC11" s="384">
        <f t="shared" si="4"/>
        <v>31.5</v>
      </c>
      <c r="AD11" s="384">
        <f t="shared" si="4"/>
        <v>31.5</v>
      </c>
      <c r="AE11" s="384">
        <f t="shared" si="4"/>
        <v>31.5</v>
      </c>
      <c r="AF11" s="385">
        <f t="shared" si="4"/>
        <v>31.5</v>
      </c>
      <c r="AG11" s="404">
        <f t="shared" si="4"/>
        <v>31.5</v>
      </c>
      <c r="AH11" s="384">
        <f t="shared" si="4"/>
        <v>31.5</v>
      </c>
      <c r="AI11" s="384">
        <f t="shared" si="7"/>
        <v>31.5</v>
      </c>
      <c r="AJ11" s="384">
        <f t="shared" si="7"/>
        <v>31.5</v>
      </c>
      <c r="AK11" s="389">
        <f t="shared" si="7"/>
        <v>31.5</v>
      </c>
      <c r="AL11" s="390">
        <f>128/2/12</f>
        <v>5.333333333333333</v>
      </c>
      <c r="AM11" s="405">
        <f>128/2/12</f>
        <v>5.333333333333333</v>
      </c>
      <c r="AN11" s="405">
        <f t="shared" si="8"/>
        <v>5.333333333333333</v>
      </c>
      <c r="AO11" s="405">
        <f t="shared" si="8"/>
        <v>5.333333333333333</v>
      </c>
      <c r="AP11" s="405">
        <f t="shared" si="8"/>
        <v>5.333333333333333</v>
      </c>
      <c r="AQ11" s="405">
        <f t="shared" si="8"/>
        <v>5.333333333333333</v>
      </c>
      <c r="AR11" s="406">
        <f t="shared" si="8"/>
        <v>5.333333333333333</v>
      </c>
      <c r="AS11" s="393">
        <f t="shared" si="8"/>
        <v>5.333333333333333</v>
      </c>
      <c r="AT11" s="405">
        <f t="shared" si="8"/>
        <v>5.333333333333333</v>
      </c>
      <c r="AU11" s="405">
        <f t="shared" si="8"/>
        <v>5.333333333333333</v>
      </c>
      <c r="AV11" s="405">
        <f t="shared" si="8"/>
        <v>5.333333333333333</v>
      </c>
      <c r="AW11" s="405">
        <f t="shared" si="8"/>
        <v>5.333333333333333</v>
      </c>
      <c r="AX11" s="405">
        <f t="shared" si="8"/>
        <v>5.333333333333333</v>
      </c>
      <c r="AY11" s="405">
        <f t="shared" si="8"/>
        <v>5.333333333333333</v>
      </c>
      <c r="AZ11" s="405">
        <f t="shared" si="8"/>
        <v>5.333333333333333</v>
      </c>
      <c r="BA11" s="405">
        <f t="shared" si="8"/>
        <v>5.333333333333333</v>
      </c>
      <c r="BB11" s="405">
        <f t="shared" si="8"/>
        <v>5.333333333333333</v>
      </c>
      <c r="BC11" s="405">
        <f t="shared" si="8"/>
        <v>5.333333333333333</v>
      </c>
      <c r="BD11" s="405">
        <f t="shared" si="8"/>
        <v>5.333333333333333</v>
      </c>
      <c r="BE11" s="407">
        <f>SUM(N11:AK11)</f>
        <v>628</v>
      </c>
      <c r="BF11" s="396">
        <f>SUM(AL11:BD11)</f>
        <v>101.3333333333333</v>
      </c>
    </row>
    <row r="12" spans="2:58" ht="16.5" thickBot="1">
      <c r="B12" s="771"/>
      <c r="C12" s="748"/>
      <c r="D12" s="416" t="s">
        <v>212</v>
      </c>
      <c r="E12" s="781"/>
      <c r="F12" s="782"/>
      <c r="G12" s="782"/>
      <c r="H12" s="782"/>
      <c r="I12" s="782"/>
      <c r="J12" s="782"/>
      <c r="K12" s="782"/>
      <c r="L12" s="782"/>
      <c r="M12" s="783"/>
      <c r="N12" s="749">
        <f>84/2+48</f>
        <v>90</v>
      </c>
      <c r="O12" s="750"/>
      <c r="P12" s="750"/>
      <c r="Q12" s="750"/>
      <c r="R12" s="750"/>
      <c r="S12" s="750"/>
      <c r="T12" s="751"/>
      <c r="U12" s="752">
        <f>175/4</f>
        <v>43.75</v>
      </c>
      <c r="V12" s="753"/>
      <c r="W12" s="753"/>
      <c r="X12" s="753"/>
      <c r="Y12" s="753"/>
      <c r="Z12" s="753"/>
      <c r="AA12" s="753"/>
      <c r="AB12" s="754"/>
      <c r="AC12" s="417"/>
      <c r="AD12" s="418"/>
      <c r="AE12" s="418"/>
      <c r="AF12" s="419"/>
      <c r="AG12" s="420"/>
      <c r="AH12" s="418"/>
      <c r="AI12" s="418"/>
      <c r="AJ12" s="418"/>
      <c r="AK12" s="421"/>
      <c r="AL12" s="422"/>
      <c r="AM12" s="422"/>
      <c r="AN12" s="423"/>
      <c r="AO12" s="423"/>
      <c r="AP12" s="423"/>
      <c r="AQ12" s="423"/>
      <c r="AR12" s="424"/>
      <c r="AS12" s="425"/>
      <c r="AT12" s="423"/>
      <c r="AU12" s="423"/>
      <c r="AV12" s="423"/>
      <c r="AW12" s="423"/>
      <c r="AX12" s="423"/>
      <c r="AY12" s="423"/>
      <c r="AZ12" s="423"/>
      <c r="BA12" s="423"/>
      <c r="BB12" s="423"/>
      <c r="BC12" s="423"/>
      <c r="BD12" s="426"/>
      <c r="BE12" s="427">
        <f>SUM(E12:AC12)</f>
        <v>133.75</v>
      </c>
      <c r="BF12" s="428">
        <f>SUM(AL12:BD12)</f>
        <v>0</v>
      </c>
    </row>
    <row r="13" spans="2:58" ht="16.5" thickTop="1">
      <c r="B13" s="755" t="s">
        <v>213</v>
      </c>
      <c r="C13" s="757">
        <v>5</v>
      </c>
      <c r="D13" s="429" t="s">
        <v>211</v>
      </c>
      <c r="E13" s="758"/>
      <c r="F13" s="759"/>
      <c r="G13" s="759"/>
      <c r="H13" s="759"/>
      <c r="I13" s="759"/>
      <c r="J13" s="759"/>
      <c r="K13" s="759"/>
      <c r="L13" s="759"/>
      <c r="M13" s="759"/>
      <c r="N13" s="759"/>
      <c r="O13" s="759"/>
      <c r="P13" s="759"/>
      <c r="Q13" s="759"/>
      <c r="R13" s="759"/>
      <c r="S13" s="759"/>
      <c r="T13" s="759"/>
      <c r="U13" s="759"/>
      <c r="V13" s="759"/>
      <c r="W13" s="760"/>
      <c r="X13" s="430">
        <f t="shared" ref="X13:AH13" si="10">453/1.8/12</f>
        <v>20.972222222222221</v>
      </c>
      <c r="Y13" s="430">
        <f t="shared" si="10"/>
        <v>20.972222222222221</v>
      </c>
      <c r="Z13" s="430">
        <f t="shared" si="10"/>
        <v>20.972222222222221</v>
      </c>
      <c r="AA13" s="430">
        <f t="shared" si="10"/>
        <v>20.972222222222221</v>
      </c>
      <c r="AB13" s="430">
        <f t="shared" si="10"/>
        <v>20.972222222222221</v>
      </c>
      <c r="AC13" s="430">
        <f t="shared" si="10"/>
        <v>20.972222222222221</v>
      </c>
      <c r="AD13" s="358">
        <f t="shared" si="10"/>
        <v>20.972222222222221</v>
      </c>
      <c r="AE13" s="358">
        <f t="shared" si="10"/>
        <v>20.972222222222221</v>
      </c>
      <c r="AF13" s="359">
        <f t="shared" si="10"/>
        <v>20.972222222222221</v>
      </c>
      <c r="AG13" s="357">
        <f t="shared" si="10"/>
        <v>20.972222222222221</v>
      </c>
      <c r="AH13" s="430">
        <f t="shared" si="10"/>
        <v>20.972222222222221</v>
      </c>
      <c r="AI13" s="431">
        <f>453/1.8/12</f>
        <v>20.972222222222221</v>
      </c>
      <c r="AJ13" s="432"/>
      <c r="AK13" s="432"/>
      <c r="AL13" s="433"/>
      <c r="AM13" s="433"/>
      <c r="AN13" s="433"/>
      <c r="AO13" s="433"/>
      <c r="AP13" s="433"/>
      <c r="AQ13" s="433"/>
      <c r="AR13" s="434"/>
      <c r="AS13" s="435"/>
      <c r="AT13" s="433"/>
      <c r="AU13" s="433"/>
      <c r="AV13" s="433"/>
      <c r="AW13" s="433"/>
      <c r="AX13" s="433"/>
      <c r="AY13" s="433"/>
      <c r="AZ13" s="433"/>
      <c r="BA13" s="433"/>
      <c r="BB13" s="433"/>
      <c r="BC13" s="433"/>
      <c r="BD13" s="436"/>
      <c r="BE13" s="437">
        <f t="shared" ref="BE13:BE18" si="11">SUM(X13:AI13)</f>
        <v>251.66666666666671</v>
      </c>
      <c r="BF13" s="438"/>
    </row>
    <row r="14" spans="2:58" ht="15.75">
      <c r="B14" s="756"/>
      <c r="C14" s="747"/>
      <c r="D14" s="373" t="s">
        <v>212</v>
      </c>
      <c r="E14" s="761"/>
      <c r="F14" s="762"/>
      <c r="G14" s="762"/>
      <c r="H14" s="762"/>
      <c r="I14" s="762"/>
      <c r="J14" s="762"/>
      <c r="K14" s="762"/>
      <c r="L14" s="762"/>
      <c r="M14" s="762"/>
      <c r="N14" s="762"/>
      <c r="O14" s="762"/>
      <c r="P14" s="762"/>
      <c r="Q14" s="762"/>
      <c r="R14" s="762"/>
      <c r="S14" s="762"/>
      <c r="T14" s="762"/>
      <c r="U14" s="762"/>
      <c r="V14" s="762"/>
      <c r="W14" s="763"/>
      <c r="X14" s="764">
        <f>49/3</f>
        <v>16.333333333333332</v>
      </c>
      <c r="Y14" s="745"/>
      <c r="Z14" s="745"/>
      <c r="AA14" s="745"/>
      <c r="AB14" s="746"/>
      <c r="AC14" s="412"/>
      <c r="AD14" s="409"/>
      <c r="AE14" s="409"/>
      <c r="AF14" s="439"/>
      <c r="AG14" s="440"/>
      <c r="AH14" s="412"/>
      <c r="AI14" s="413"/>
      <c r="AJ14" s="375"/>
      <c r="AK14" s="414"/>
      <c r="AL14" s="399"/>
      <c r="AM14" s="399"/>
      <c r="AN14" s="399"/>
      <c r="AO14" s="399"/>
      <c r="AP14" s="399"/>
      <c r="AQ14" s="399"/>
      <c r="AR14" s="400"/>
      <c r="AS14" s="401"/>
      <c r="AT14" s="399"/>
      <c r="AU14" s="399"/>
      <c r="AV14" s="399"/>
      <c r="AW14" s="399"/>
      <c r="AX14" s="399"/>
      <c r="AY14" s="399"/>
      <c r="AZ14" s="399"/>
      <c r="BA14" s="399"/>
      <c r="BB14" s="399"/>
      <c r="BC14" s="399"/>
      <c r="BD14" s="402"/>
      <c r="BE14" s="441">
        <f t="shared" si="11"/>
        <v>16.333333333333332</v>
      </c>
      <c r="BF14" s="415"/>
    </row>
    <row r="15" spans="2:58" ht="15.75">
      <c r="B15" s="756"/>
      <c r="C15" s="747">
        <v>6</v>
      </c>
      <c r="D15" s="382" t="s">
        <v>211</v>
      </c>
      <c r="E15" s="761"/>
      <c r="F15" s="762"/>
      <c r="G15" s="762"/>
      <c r="H15" s="762"/>
      <c r="I15" s="762"/>
      <c r="J15" s="762"/>
      <c r="K15" s="762"/>
      <c r="L15" s="762"/>
      <c r="M15" s="762"/>
      <c r="N15" s="762"/>
      <c r="O15" s="762"/>
      <c r="P15" s="762"/>
      <c r="Q15" s="762"/>
      <c r="R15" s="762"/>
      <c r="S15" s="762"/>
      <c r="T15" s="762"/>
      <c r="U15" s="762"/>
      <c r="V15" s="762"/>
      <c r="W15" s="763"/>
      <c r="X15" s="386">
        <f t="shared" ref="X15:AI15" si="12">453/1.8/12</f>
        <v>20.972222222222221</v>
      </c>
      <c r="Y15" s="386">
        <f t="shared" si="12"/>
        <v>20.972222222222221</v>
      </c>
      <c r="Z15" s="386">
        <f t="shared" si="12"/>
        <v>20.972222222222221</v>
      </c>
      <c r="AA15" s="386">
        <f t="shared" si="12"/>
        <v>20.972222222222221</v>
      </c>
      <c r="AB15" s="386">
        <f t="shared" si="12"/>
        <v>20.972222222222221</v>
      </c>
      <c r="AC15" s="386">
        <f t="shared" si="12"/>
        <v>20.972222222222221</v>
      </c>
      <c r="AD15" s="384">
        <f t="shared" si="12"/>
        <v>20.972222222222221</v>
      </c>
      <c r="AE15" s="384">
        <f t="shared" si="12"/>
        <v>20.972222222222221</v>
      </c>
      <c r="AF15" s="387">
        <f t="shared" si="12"/>
        <v>20.972222222222221</v>
      </c>
      <c r="AG15" s="383">
        <f t="shared" si="12"/>
        <v>20.972222222222221</v>
      </c>
      <c r="AH15" s="386">
        <f t="shared" si="12"/>
        <v>20.972222222222221</v>
      </c>
      <c r="AI15" s="442">
        <f t="shared" si="12"/>
        <v>20.972222222222221</v>
      </c>
      <c r="AJ15" s="443"/>
      <c r="AK15" s="444"/>
      <c r="AL15" s="445"/>
      <c r="AM15" s="445"/>
      <c r="AN15" s="445"/>
      <c r="AO15" s="445"/>
      <c r="AP15" s="445"/>
      <c r="AQ15" s="445"/>
      <c r="AR15" s="446"/>
      <c r="AS15" s="447"/>
      <c r="AT15" s="445"/>
      <c r="AU15" s="445"/>
      <c r="AV15" s="445"/>
      <c r="AW15" s="445"/>
      <c r="AX15" s="445"/>
      <c r="AY15" s="445"/>
      <c r="AZ15" s="445"/>
      <c r="BA15" s="445"/>
      <c r="BB15" s="445"/>
      <c r="BC15" s="445"/>
      <c r="BD15" s="448"/>
      <c r="BE15" s="449">
        <f t="shared" si="11"/>
        <v>251.66666666666671</v>
      </c>
      <c r="BF15" s="450"/>
    </row>
    <row r="16" spans="2:58" ht="15.75">
      <c r="B16" s="756"/>
      <c r="C16" s="747"/>
      <c r="D16" s="373" t="s">
        <v>212</v>
      </c>
      <c r="E16" s="761"/>
      <c r="F16" s="762"/>
      <c r="G16" s="762"/>
      <c r="H16" s="762"/>
      <c r="I16" s="762"/>
      <c r="J16" s="762"/>
      <c r="K16" s="762"/>
      <c r="L16" s="762"/>
      <c r="M16" s="762"/>
      <c r="N16" s="762"/>
      <c r="O16" s="762"/>
      <c r="P16" s="762"/>
      <c r="Q16" s="762"/>
      <c r="R16" s="762"/>
      <c r="S16" s="762"/>
      <c r="T16" s="762"/>
      <c r="U16" s="762"/>
      <c r="V16" s="762"/>
      <c r="W16" s="763"/>
      <c r="X16" s="764">
        <f>X14</f>
        <v>16.333333333333332</v>
      </c>
      <c r="Y16" s="745"/>
      <c r="Z16" s="745"/>
      <c r="AA16" s="745"/>
      <c r="AB16" s="746"/>
      <c r="AC16" s="412"/>
      <c r="AD16" s="409"/>
      <c r="AE16" s="409"/>
      <c r="AF16" s="439"/>
      <c r="AG16" s="440"/>
      <c r="AH16" s="412"/>
      <c r="AI16" s="413"/>
      <c r="AJ16" s="375"/>
      <c r="AK16" s="414"/>
      <c r="AL16" s="399"/>
      <c r="AM16" s="399"/>
      <c r="AN16" s="399"/>
      <c r="AO16" s="399"/>
      <c r="AP16" s="399"/>
      <c r="AQ16" s="399"/>
      <c r="AR16" s="400"/>
      <c r="AS16" s="401"/>
      <c r="AT16" s="399"/>
      <c r="AU16" s="399"/>
      <c r="AV16" s="399"/>
      <c r="AW16" s="399"/>
      <c r="AX16" s="399"/>
      <c r="AY16" s="399"/>
      <c r="AZ16" s="399"/>
      <c r="BA16" s="399"/>
      <c r="BB16" s="399"/>
      <c r="BC16" s="399"/>
      <c r="BD16" s="402"/>
      <c r="BE16" s="441">
        <f t="shared" si="11"/>
        <v>16.333333333333332</v>
      </c>
      <c r="BF16" s="415"/>
    </row>
    <row r="17" spans="2:58" ht="15.75">
      <c r="B17" s="756"/>
      <c r="C17" s="747">
        <v>7</v>
      </c>
      <c r="D17" s="382" t="s">
        <v>211</v>
      </c>
      <c r="E17" s="761"/>
      <c r="F17" s="762"/>
      <c r="G17" s="762"/>
      <c r="H17" s="762"/>
      <c r="I17" s="762"/>
      <c r="J17" s="762"/>
      <c r="K17" s="762"/>
      <c r="L17" s="762"/>
      <c r="M17" s="762"/>
      <c r="N17" s="762"/>
      <c r="O17" s="762"/>
      <c r="P17" s="762"/>
      <c r="Q17" s="762"/>
      <c r="R17" s="762"/>
      <c r="S17" s="762"/>
      <c r="T17" s="762"/>
      <c r="U17" s="762"/>
      <c r="V17" s="762"/>
      <c r="W17" s="763"/>
      <c r="X17" s="386">
        <f t="shared" ref="X17:AI17" si="13">453/1.8/12</f>
        <v>20.972222222222221</v>
      </c>
      <c r="Y17" s="386">
        <f t="shared" si="13"/>
        <v>20.972222222222221</v>
      </c>
      <c r="Z17" s="386">
        <f t="shared" si="13"/>
        <v>20.972222222222221</v>
      </c>
      <c r="AA17" s="386">
        <f t="shared" si="13"/>
        <v>20.972222222222221</v>
      </c>
      <c r="AB17" s="386">
        <f t="shared" si="13"/>
        <v>20.972222222222221</v>
      </c>
      <c r="AC17" s="386">
        <f t="shared" si="13"/>
        <v>20.972222222222221</v>
      </c>
      <c r="AD17" s="384">
        <f t="shared" si="13"/>
        <v>20.972222222222221</v>
      </c>
      <c r="AE17" s="384">
        <f t="shared" si="13"/>
        <v>20.972222222222221</v>
      </c>
      <c r="AF17" s="387">
        <f t="shared" si="13"/>
        <v>20.972222222222221</v>
      </c>
      <c r="AG17" s="383">
        <f t="shared" si="13"/>
        <v>20.972222222222221</v>
      </c>
      <c r="AH17" s="386">
        <f t="shared" si="13"/>
        <v>20.972222222222221</v>
      </c>
      <c r="AI17" s="442">
        <f t="shared" si="13"/>
        <v>20.972222222222221</v>
      </c>
      <c r="AJ17" s="443"/>
      <c r="AK17" s="444"/>
      <c r="AL17" s="445"/>
      <c r="AM17" s="445"/>
      <c r="AN17" s="445"/>
      <c r="AO17" s="445"/>
      <c r="AP17" s="445"/>
      <c r="AQ17" s="445"/>
      <c r="AR17" s="446"/>
      <c r="AS17" s="447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9">
        <f t="shared" si="11"/>
        <v>251.66666666666671</v>
      </c>
      <c r="BF17" s="450"/>
    </row>
    <row r="18" spans="2:58" ht="16.5" thickBot="1">
      <c r="B18" s="756"/>
      <c r="C18" s="748"/>
      <c r="D18" s="451" t="s">
        <v>212</v>
      </c>
      <c r="E18" s="761"/>
      <c r="F18" s="762"/>
      <c r="G18" s="762"/>
      <c r="H18" s="762"/>
      <c r="I18" s="762"/>
      <c r="J18" s="762"/>
      <c r="K18" s="762"/>
      <c r="L18" s="762"/>
      <c r="M18" s="762"/>
      <c r="N18" s="762"/>
      <c r="O18" s="762"/>
      <c r="P18" s="762"/>
      <c r="Q18" s="762"/>
      <c r="R18" s="762"/>
      <c r="S18" s="762"/>
      <c r="T18" s="762"/>
      <c r="U18" s="762"/>
      <c r="V18" s="762"/>
      <c r="W18" s="763"/>
      <c r="X18" s="765">
        <f>X16</f>
        <v>16.333333333333332</v>
      </c>
      <c r="Y18" s="766"/>
      <c r="Z18" s="766"/>
      <c r="AA18" s="766"/>
      <c r="AB18" s="767"/>
      <c r="AC18" s="412"/>
      <c r="AD18" s="412"/>
      <c r="AE18" s="412"/>
      <c r="AF18" s="452"/>
      <c r="AG18" s="440"/>
      <c r="AH18" s="412"/>
      <c r="AI18" s="413"/>
      <c r="AJ18" s="375"/>
      <c r="AK18" s="375"/>
      <c r="AL18" s="376"/>
      <c r="AM18" s="376"/>
      <c r="AN18" s="376"/>
      <c r="AO18" s="376"/>
      <c r="AP18" s="376"/>
      <c r="AQ18" s="376"/>
      <c r="AR18" s="379"/>
      <c r="AS18" s="378"/>
      <c r="AT18" s="376"/>
      <c r="AU18" s="376"/>
      <c r="AV18" s="376"/>
      <c r="AW18" s="376"/>
      <c r="AX18" s="376"/>
      <c r="AY18" s="376"/>
      <c r="AZ18" s="376"/>
      <c r="BA18" s="376"/>
      <c r="BB18" s="376"/>
      <c r="BC18" s="376"/>
      <c r="BD18" s="377"/>
      <c r="BE18" s="380">
        <f t="shared" si="11"/>
        <v>16.333333333333332</v>
      </c>
      <c r="BF18" s="428"/>
    </row>
    <row r="19" spans="2:58" ht="17.25" thickTop="1" thickBot="1">
      <c r="B19" s="737" t="s">
        <v>214</v>
      </c>
      <c r="C19" s="738"/>
      <c r="D19" s="738"/>
      <c r="E19" s="453"/>
      <c r="F19" s="453"/>
      <c r="G19" s="453"/>
      <c r="H19" s="453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4">
        <v>26.4</v>
      </c>
      <c r="V19" s="454">
        <v>48</v>
      </c>
      <c r="W19" s="454">
        <v>49.4</v>
      </c>
      <c r="X19" s="454">
        <v>46.7</v>
      </c>
      <c r="Y19" s="454">
        <v>53.2</v>
      </c>
      <c r="Z19" s="454">
        <v>56.1</v>
      </c>
      <c r="AA19" s="454">
        <v>58.1</v>
      </c>
      <c r="AB19" s="454">
        <v>36.700000000000003</v>
      </c>
      <c r="AC19" s="454">
        <v>52.8</v>
      </c>
      <c r="AD19" s="453"/>
      <c r="AE19" s="453"/>
      <c r="AF19" s="453"/>
      <c r="AG19" s="453"/>
      <c r="AH19" s="453"/>
      <c r="AI19" s="453"/>
      <c r="AJ19" s="453"/>
      <c r="AK19" s="453"/>
      <c r="AL19" s="453"/>
      <c r="AM19" s="453"/>
      <c r="AN19" s="453"/>
      <c r="AO19" s="453"/>
      <c r="AP19" s="453"/>
      <c r="AQ19" s="453"/>
      <c r="AR19" s="453"/>
      <c r="AS19" s="453"/>
      <c r="AT19" s="453"/>
      <c r="AU19" s="453"/>
      <c r="AV19" s="453"/>
      <c r="AW19" s="453"/>
      <c r="AX19" s="453"/>
      <c r="AY19" s="453"/>
      <c r="AZ19" s="453"/>
      <c r="BA19" s="453"/>
      <c r="BB19" s="453"/>
      <c r="BC19" s="453"/>
      <c r="BD19" s="453"/>
      <c r="BE19" s="455">
        <f>SUM(U19:BD19)</f>
        <v>427.40000000000003</v>
      </c>
      <c r="BF19" s="456"/>
    </row>
    <row r="20" spans="2:58" ht="18.75">
      <c r="F20" s="739"/>
      <c r="G20" s="739"/>
      <c r="H20" s="739"/>
      <c r="I20" s="457" t="s">
        <v>215</v>
      </c>
      <c r="J20" s="457"/>
    </row>
    <row r="21" spans="2:58" ht="18.75">
      <c r="F21" s="736"/>
      <c r="G21" s="736"/>
      <c r="H21" s="736"/>
      <c r="I21" s="457" t="s">
        <v>209</v>
      </c>
      <c r="J21" s="457"/>
      <c r="U21" s="740" t="s">
        <v>196</v>
      </c>
      <c r="V21" s="740"/>
      <c r="W21" s="740"/>
      <c r="X21" s="458">
        <f>SUM(U5:AF5,U7:AF7,U9:AF9,U11:AF11,X13:AF13,X15:AF15,X17:AF17)</f>
        <v>1762.2499999999991</v>
      </c>
      <c r="Y21" t="s">
        <v>195</v>
      </c>
    </row>
    <row r="22" spans="2:58">
      <c r="U22" s="741"/>
      <c r="V22" s="742"/>
      <c r="W22" s="743"/>
      <c r="X22" s="459"/>
    </row>
    <row r="23" spans="2:58">
      <c r="R23" s="460"/>
      <c r="W23" s="461"/>
      <c r="X23" s="461"/>
      <c r="Y23" s="461"/>
      <c r="Z23" s="461">
        <f>1076+84</f>
        <v>1160</v>
      </c>
      <c r="AA23" s="461"/>
      <c r="AB23" s="461"/>
      <c r="AC23" s="461"/>
      <c r="AD23" s="461"/>
      <c r="AE23" s="461"/>
      <c r="AF23" s="461">
        <f>210000/160</f>
        <v>1312.5</v>
      </c>
      <c r="AG23" s="461"/>
      <c r="AH23" s="461"/>
      <c r="AI23" s="461"/>
      <c r="AJ23" s="461"/>
      <c r="AK23" s="461"/>
      <c r="AL23" s="461"/>
      <c r="AM23" s="461"/>
      <c r="AN23" s="461"/>
      <c r="AO23" s="461"/>
      <c r="AP23" s="461"/>
      <c r="AQ23" s="461"/>
    </row>
    <row r="24" spans="2:58" ht="18.75">
      <c r="U24" s="739"/>
      <c r="V24" s="739"/>
      <c r="W24" s="739"/>
      <c r="X24" s="457" t="s">
        <v>215</v>
      </c>
      <c r="Y24" s="457"/>
      <c r="AA24" s="461"/>
      <c r="AB24" s="461"/>
      <c r="AC24" s="461"/>
      <c r="AD24" s="461"/>
      <c r="AE24" s="461"/>
      <c r="AF24" s="461"/>
      <c r="AG24" s="461">
        <f>681-648</f>
        <v>33</v>
      </c>
      <c r="AH24" s="461"/>
      <c r="AI24" s="461">
        <f>AG24/2</f>
        <v>16.5</v>
      </c>
      <c r="AJ24" s="461"/>
      <c r="AK24" s="461"/>
      <c r="AL24" s="461"/>
      <c r="AM24" s="461">
        <f>648-44-100</f>
        <v>504</v>
      </c>
      <c r="AN24" s="461"/>
      <c r="AO24" s="461"/>
      <c r="AP24" s="461"/>
      <c r="AQ24" s="461"/>
    </row>
    <row r="25" spans="2:58" ht="18.75">
      <c r="U25" s="736"/>
      <c r="V25" s="736"/>
      <c r="W25" s="736"/>
      <c r="X25" s="457" t="s">
        <v>209</v>
      </c>
      <c r="Y25" s="457"/>
      <c r="AA25" s="461"/>
      <c r="AB25" s="461"/>
      <c r="AC25" s="461"/>
      <c r="AD25" s="461"/>
      <c r="AE25" s="461"/>
      <c r="AF25" s="461"/>
      <c r="AG25" s="461">
        <f>175/4</f>
        <v>43.75</v>
      </c>
      <c r="AH25" s="461"/>
      <c r="AI25" s="461"/>
      <c r="AJ25" s="461"/>
      <c r="AK25" s="461"/>
      <c r="AL25" s="461"/>
      <c r="AM25" s="461"/>
      <c r="AN25" s="461"/>
      <c r="AO25" s="461"/>
      <c r="AP25" s="461"/>
      <c r="AQ25" s="461"/>
      <c r="BA25" s="462">
        <f>453000000/180</f>
        <v>2516666.6666666665</v>
      </c>
    </row>
    <row r="26" spans="2:58">
      <c r="W26" s="461"/>
      <c r="X26" s="461"/>
      <c r="Y26" s="461"/>
      <c r="Z26" s="461"/>
      <c r="AA26" s="461"/>
      <c r="AB26" s="461"/>
      <c r="AC26" s="461"/>
      <c r="AD26" s="461"/>
      <c r="AE26" s="461"/>
      <c r="AF26" s="461"/>
      <c r="AG26" s="461"/>
      <c r="AH26" s="461"/>
      <c r="AI26" s="461"/>
      <c r="AJ26" s="461"/>
      <c r="AK26" s="461"/>
      <c r="AL26" s="461"/>
      <c r="AM26" s="461"/>
      <c r="AN26" s="461"/>
      <c r="AO26" s="461">
        <f>521-504</f>
        <v>17</v>
      </c>
      <c r="AP26" s="461"/>
      <c r="AQ26" s="461"/>
      <c r="BA26" s="461">
        <f>252/12</f>
        <v>21</v>
      </c>
    </row>
    <row r="27" spans="2:58">
      <c r="W27" s="461"/>
      <c r="X27" s="461"/>
      <c r="Y27" s="461"/>
      <c r="Z27" s="461"/>
      <c r="AA27" s="461"/>
      <c r="AB27" s="461"/>
      <c r="AC27" s="461"/>
      <c r="AD27" s="461"/>
      <c r="AE27" s="461"/>
      <c r="AF27" s="461"/>
      <c r="AG27" s="461"/>
      <c r="AH27" s="461"/>
      <c r="AI27" s="461"/>
      <c r="AJ27" s="461"/>
      <c r="AK27" s="461"/>
      <c r="AL27" s="461"/>
      <c r="AM27" s="461"/>
      <c r="AN27" s="461"/>
      <c r="AO27" s="461"/>
      <c r="AP27" s="461"/>
      <c r="AQ27" s="461"/>
      <c r="BA27" s="461"/>
    </row>
    <row r="28" spans="2:58">
      <c r="W28" s="461"/>
      <c r="X28" s="461"/>
      <c r="Y28" s="461"/>
      <c r="Z28" s="461"/>
      <c r="AA28" s="461"/>
      <c r="AB28" s="461"/>
      <c r="AC28" s="461"/>
      <c r="AD28" s="461"/>
      <c r="AE28" s="461"/>
      <c r="AF28" s="461"/>
      <c r="AG28" s="461"/>
      <c r="AH28" s="461"/>
      <c r="AI28" s="461"/>
      <c r="AJ28" s="461"/>
      <c r="AK28" s="461"/>
      <c r="AL28" s="461"/>
      <c r="AM28" s="461"/>
      <c r="AN28" s="461"/>
      <c r="AO28" s="461"/>
      <c r="AP28" s="461"/>
      <c r="AQ28" s="461"/>
    </row>
  </sheetData>
  <mergeCells count="40">
    <mergeCell ref="C2:BF2"/>
    <mergeCell ref="C3:D3"/>
    <mergeCell ref="E3:H3"/>
    <mergeCell ref="I3:T3"/>
    <mergeCell ref="U3:AF3"/>
    <mergeCell ref="AG3:AR3"/>
    <mergeCell ref="AS3:BD3"/>
    <mergeCell ref="BE3:BF3"/>
    <mergeCell ref="U6:AB6"/>
    <mergeCell ref="C7:C8"/>
    <mergeCell ref="E8:H8"/>
    <mergeCell ref="I8:T8"/>
    <mergeCell ref="U8:AB8"/>
    <mergeCell ref="C4:D4"/>
    <mergeCell ref="B5:B12"/>
    <mergeCell ref="C5:C6"/>
    <mergeCell ref="E6:H6"/>
    <mergeCell ref="I6:T6"/>
    <mergeCell ref="C9:C10"/>
    <mergeCell ref="E9:M12"/>
    <mergeCell ref="N10:T10"/>
    <mergeCell ref="U10:AB10"/>
    <mergeCell ref="C11:C12"/>
    <mergeCell ref="N12:T12"/>
    <mergeCell ref="U12:AB12"/>
    <mergeCell ref="B13:B18"/>
    <mergeCell ref="C13:C14"/>
    <mergeCell ref="E13:W18"/>
    <mergeCell ref="X14:AB14"/>
    <mergeCell ref="C15:C16"/>
    <mergeCell ref="X16:AB16"/>
    <mergeCell ref="C17:C18"/>
    <mergeCell ref="X18:AB18"/>
    <mergeCell ref="U25:W25"/>
    <mergeCell ref="B19:D19"/>
    <mergeCell ref="F20:H20"/>
    <mergeCell ref="F21:H21"/>
    <mergeCell ref="U21:W21"/>
    <mergeCell ref="U22:W22"/>
    <mergeCell ref="U24:W24"/>
  </mergeCells>
  <phoneticPr fontId="10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5949-1C64-493F-9AB5-03AA3BAAA88C}">
  <sheetPr codeName="Sheet8"/>
  <dimension ref="B1:AB436"/>
  <sheetViews>
    <sheetView showGridLines="0" topLeftCell="A4" zoomScale="80" zoomScaleNormal="80" workbookViewId="0">
      <selection activeCell="AC19" sqref="AC19"/>
    </sheetView>
  </sheetViews>
  <sheetFormatPr defaultColWidth="8.85546875" defaultRowHeight="19.5"/>
  <cols>
    <col min="1" max="2" width="8.85546875" style="1"/>
    <col min="3" max="3" width="4.5703125" style="1" bestFit="1" customWidth="1"/>
    <col min="4" max="4" width="15.42578125" style="86" customWidth="1"/>
    <col min="5" max="5" width="17.140625" style="1" customWidth="1"/>
    <col min="6" max="6" width="9.5703125" style="1" customWidth="1"/>
    <col min="7" max="7" width="7.140625" style="1" customWidth="1"/>
    <col min="8" max="9" width="5.42578125" style="1" hidden="1" customWidth="1"/>
    <col min="10" max="12" width="6.28515625" style="1" hidden="1" customWidth="1"/>
    <col min="13" max="13" width="11.42578125" style="110" hidden="1" customWidth="1"/>
    <col min="14" max="14" width="9.140625" style="1" customWidth="1"/>
    <col min="15" max="18" width="8.85546875" style="1" customWidth="1"/>
    <col min="19" max="19" width="11.28515625" style="1" customWidth="1"/>
    <col min="20" max="20" width="11.42578125" style="110" hidden="1" customWidth="1"/>
    <col min="21" max="21" width="8.42578125" style="1" bestFit="1" customWidth="1"/>
    <col min="22" max="22" width="9.85546875" style="1" customWidth="1"/>
    <col min="23" max="23" width="11.5703125" style="1" bestFit="1" customWidth="1"/>
    <col min="24" max="24" width="9.42578125" style="1" customWidth="1"/>
    <col min="25" max="25" width="8.5703125" style="1" customWidth="1"/>
    <col min="26" max="26" width="8.7109375" style="1" customWidth="1"/>
    <col min="27" max="27" width="11.42578125" style="110" customWidth="1"/>
    <col min="28" max="32" width="8.85546875" style="1"/>
    <col min="33" max="33" width="10" style="1" bestFit="1" customWidth="1"/>
    <col min="34" max="16384" width="8.85546875" style="1"/>
  </cols>
  <sheetData>
    <row r="1" spans="2:28"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2:28" ht="38.25">
      <c r="C2" s="551" t="s">
        <v>71</v>
      </c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99"/>
      <c r="P2" s="99"/>
      <c r="Q2" s="99"/>
      <c r="R2" s="99"/>
      <c r="S2" s="140"/>
      <c r="T2" s="139"/>
      <c r="U2" s="140"/>
      <c r="V2" s="140"/>
      <c r="W2" s="140"/>
      <c r="X2" s="140"/>
      <c r="Y2" s="140"/>
      <c r="Z2" s="139"/>
      <c r="AA2" s="139"/>
      <c r="AB2" s="139"/>
    </row>
    <row r="3" spans="2:28" ht="25.5" thickBot="1">
      <c r="K3" s="637" t="s">
        <v>125</v>
      </c>
      <c r="L3" s="637"/>
      <c r="M3" s="637"/>
      <c r="N3" s="637"/>
      <c r="O3" s="637"/>
      <c r="P3" s="637"/>
      <c r="Q3" s="637"/>
      <c r="R3" s="637"/>
      <c r="S3" s="139"/>
      <c r="T3" s="139" t="s">
        <v>126</v>
      </c>
      <c r="U3" s="139"/>
      <c r="V3" s="139"/>
      <c r="W3" s="139"/>
      <c r="X3" s="139"/>
      <c r="Y3" s="139"/>
      <c r="Z3" s="139"/>
      <c r="AA3" s="198" t="s">
        <v>127</v>
      </c>
      <c r="AB3" s="139"/>
    </row>
    <row r="4" spans="2:28" ht="38.25" customHeight="1" thickBot="1">
      <c r="C4" s="45" t="s">
        <v>73</v>
      </c>
      <c r="D4" s="181" t="s">
        <v>7</v>
      </c>
      <c r="E4" s="46" t="s">
        <v>106</v>
      </c>
      <c r="F4" s="134" t="s">
        <v>107</v>
      </c>
      <c r="G4" s="46"/>
      <c r="H4" s="46" t="s">
        <v>8</v>
      </c>
      <c r="I4" s="46" t="s">
        <v>9</v>
      </c>
      <c r="J4" s="46" t="s">
        <v>10</v>
      </c>
      <c r="K4" s="46" t="s">
        <v>11</v>
      </c>
      <c r="L4" s="46" t="s">
        <v>74</v>
      </c>
      <c r="M4" s="105" t="s">
        <v>13</v>
      </c>
      <c r="N4" s="46" t="s">
        <v>14</v>
      </c>
      <c r="O4" s="46" t="s">
        <v>75</v>
      </c>
      <c r="P4" s="46" t="s">
        <v>76</v>
      </c>
      <c r="Q4" s="46" t="s">
        <v>77</v>
      </c>
      <c r="R4" s="46" t="s">
        <v>78</v>
      </c>
      <c r="S4" s="46" t="s">
        <v>79</v>
      </c>
      <c r="T4" s="148" t="s">
        <v>13</v>
      </c>
      <c r="U4" s="145" t="s">
        <v>80</v>
      </c>
      <c r="V4" s="46" t="s">
        <v>81</v>
      </c>
      <c r="W4" s="46" t="s">
        <v>82</v>
      </c>
      <c r="X4" s="46" t="s">
        <v>83</v>
      </c>
      <c r="Y4" s="46" t="s">
        <v>84</v>
      </c>
      <c r="Z4" s="163" t="s">
        <v>74</v>
      </c>
      <c r="AA4" s="148" t="s">
        <v>13</v>
      </c>
    </row>
    <row r="5" spans="2:28" ht="27" customHeight="1">
      <c r="B5" s="2"/>
      <c r="C5" s="616">
        <v>1</v>
      </c>
      <c r="D5" s="617" t="s">
        <v>22</v>
      </c>
      <c r="E5" s="635" t="s">
        <v>85</v>
      </c>
      <c r="F5" s="617" t="s">
        <v>108</v>
      </c>
      <c r="G5" s="74" t="s">
        <v>86</v>
      </c>
      <c r="H5" s="74">
        <v>100</v>
      </c>
      <c r="I5" s="74">
        <v>100</v>
      </c>
      <c r="J5" s="74">
        <v>200</v>
      </c>
      <c r="K5" s="74">
        <v>200</v>
      </c>
      <c r="L5" s="74">
        <v>300</v>
      </c>
      <c r="M5" s="106">
        <f>SUM(H5:L5)</f>
        <v>900</v>
      </c>
      <c r="N5" s="74">
        <v>0</v>
      </c>
      <c r="O5" s="74">
        <v>0</v>
      </c>
      <c r="P5" s="74">
        <v>200</v>
      </c>
      <c r="Q5" s="74">
        <v>200</v>
      </c>
      <c r="R5" s="74">
        <v>300</v>
      </c>
      <c r="S5" s="74">
        <v>375</v>
      </c>
      <c r="T5" s="195">
        <f t="shared" ref="T5:T26" si="0">SUM(N5:S5)</f>
        <v>1075</v>
      </c>
      <c r="U5" s="193" t="s">
        <v>136</v>
      </c>
      <c r="V5" s="193" t="s">
        <v>136</v>
      </c>
      <c r="W5" s="193" t="s">
        <v>136</v>
      </c>
      <c r="X5" s="193" t="s">
        <v>136</v>
      </c>
      <c r="Y5" s="193" t="s">
        <v>136</v>
      </c>
      <c r="Z5" s="193" t="s">
        <v>136</v>
      </c>
      <c r="AA5" s="195">
        <v>0</v>
      </c>
    </row>
    <row r="6" spans="2:28" ht="27" customHeight="1">
      <c r="B6" s="2"/>
      <c r="C6" s="597"/>
      <c r="D6" s="605"/>
      <c r="E6" s="636"/>
      <c r="F6" s="605"/>
      <c r="G6" s="166" t="s">
        <v>87</v>
      </c>
      <c r="H6" s="43">
        <v>104</v>
      </c>
      <c r="I6" s="43"/>
      <c r="J6" s="43"/>
      <c r="K6" s="43"/>
      <c r="L6" s="43"/>
      <c r="M6" s="107"/>
      <c r="N6" s="173">
        <v>0</v>
      </c>
      <c r="O6" s="173">
        <v>0</v>
      </c>
      <c r="P6" s="173">
        <v>0</v>
      </c>
      <c r="Q6" s="173">
        <v>0</v>
      </c>
      <c r="R6" s="173">
        <v>0</v>
      </c>
      <c r="S6" s="173">
        <v>0</v>
      </c>
      <c r="T6" s="202">
        <f t="shared" si="0"/>
        <v>0</v>
      </c>
      <c r="U6" s="193" t="s">
        <v>136</v>
      </c>
      <c r="V6" s="193" t="s">
        <v>136</v>
      </c>
      <c r="W6" s="193" t="s">
        <v>136</v>
      </c>
      <c r="X6" s="193" t="s">
        <v>136</v>
      </c>
      <c r="Y6" s="193" t="s">
        <v>136</v>
      </c>
      <c r="Z6" s="193" t="s">
        <v>136</v>
      </c>
      <c r="AA6" s="202">
        <f t="shared" ref="AA6:AA26" si="1">SUM(T6:Z6)</f>
        <v>0</v>
      </c>
    </row>
    <row r="7" spans="2:28" ht="27" customHeight="1">
      <c r="B7" s="2"/>
      <c r="C7" s="596">
        <v>2</v>
      </c>
      <c r="D7" s="604" t="s">
        <v>109</v>
      </c>
      <c r="E7" s="626" t="s">
        <v>96</v>
      </c>
      <c r="F7" s="540" t="s">
        <v>110</v>
      </c>
      <c r="G7" s="43" t="s">
        <v>86</v>
      </c>
      <c r="H7" s="35">
        <v>100</v>
      </c>
      <c r="I7" s="35">
        <v>150</v>
      </c>
      <c r="J7" s="35">
        <v>150</v>
      </c>
      <c r="K7" s="35">
        <v>150</v>
      </c>
      <c r="L7" s="35">
        <v>200</v>
      </c>
      <c r="M7" s="108">
        <f>SUM(H7:L7)</f>
        <v>750</v>
      </c>
      <c r="N7" s="35">
        <v>100</v>
      </c>
      <c r="O7" s="35">
        <v>50</v>
      </c>
      <c r="P7" s="35">
        <v>150</v>
      </c>
      <c r="Q7" s="35">
        <v>150</v>
      </c>
      <c r="R7" s="35">
        <v>150</v>
      </c>
      <c r="S7" s="35">
        <v>200</v>
      </c>
      <c r="T7" s="196">
        <f t="shared" si="0"/>
        <v>800</v>
      </c>
      <c r="U7" s="193" t="s">
        <v>136</v>
      </c>
      <c r="V7" s="193" t="s">
        <v>136</v>
      </c>
      <c r="W7" s="193" t="s">
        <v>136</v>
      </c>
      <c r="X7" s="193" t="s">
        <v>136</v>
      </c>
      <c r="Y7" s="193" t="s">
        <v>136</v>
      </c>
      <c r="Z7" s="193" t="s">
        <v>136</v>
      </c>
      <c r="AA7" s="196">
        <v>0</v>
      </c>
    </row>
    <row r="8" spans="2:28" ht="27" customHeight="1">
      <c r="B8" s="2"/>
      <c r="C8" s="597"/>
      <c r="D8" s="605"/>
      <c r="E8" s="626"/>
      <c r="F8" s="540"/>
      <c r="G8" s="167" t="s">
        <v>87</v>
      </c>
      <c r="H8" s="62">
        <v>100</v>
      </c>
      <c r="I8" s="68">
        <v>150</v>
      </c>
      <c r="J8" s="98"/>
      <c r="K8" s="72">
        <v>125</v>
      </c>
      <c r="L8" s="62"/>
      <c r="M8" s="109"/>
      <c r="N8" s="68">
        <v>0</v>
      </c>
      <c r="O8" s="68">
        <v>0</v>
      </c>
      <c r="P8" s="68">
        <v>0</v>
      </c>
      <c r="Q8" s="173">
        <v>0</v>
      </c>
      <c r="R8" s="173">
        <v>0</v>
      </c>
      <c r="S8" s="173">
        <v>0</v>
      </c>
      <c r="T8" s="202">
        <f t="shared" si="0"/>
        <v>0</v>
      </c>
      <c r="U8" s="193" t="s">
        <v>136</v>
      </c>
      <c r="V8" s="193" t="s">
        <v>136</v>
      </c>
      <c r="W8" s="193" t="s">
        <v>136</v>
      </c>
      <c r="X8" s="193" t="s">
        <v>136</v>
      </c>
      <c r="Y8" s="193" t="s">
        <v>136</v>
      </c>
      <c r="Z8" s="193" t="s">
        <v>136</v>
      </c>
      <c r="AA8" s="202">
        <f t="shared" si="1"/>
        <v>0</v>
      </c>
    </row>
    <row r="9" spans="2:28" ht="27" customHeight="1">
      <c r="B9" s="2"/>
      <c r="C9" s="596">
        <v>1</v>
      </c>
      <c r="D9" s="657" t="s">
        <v>128</v>
      </c>
      <c r="E9" s="137" t="s">
        <v>89</v>
      </c>
      <c r="F9" s="604" t="s">
        <v>129</v>
      </c>
      <c r="G9" s="35" t="s">
        <v>86</v>
      </c>
      <c r="H9" s="35">
        <v>0</v>
      </c>
      <c r="I9" s="35">
        <v>50</v>
      </c>
      <c r="J9" s="35">
        <v>50</v>
      </c>
      <c r="K9" s="35">
        <v>100</v>
      </c>
      <c r="L9" s="35">
        <v>100</v>
      </c>
      <c r="M9" s="108">
        <f t="shared" ref="M9" si="2">SUM(H9:L9)</f>
        <v>300</v>
      </c>
      <c r="N9" s="35">
        <v>50</v>
      </c>
      <c r="O9" s="35">
        <v>0</v>
      </c>
      <c r="P9" s="35">
        <v>320</v>
      </c>
      <c r="Q9" s="35">
        <v>320</v>
      </c>
      <c r="R9" s="35">
        <v>320</v>
      </c>
      <c r="S9" s="35">
        <v>320</v>
      </c>
      <c r="T9" s="196">
        <f t="shared" si="0"/>
        <v>1330</v>
      </c>
      <c r="U9" s="182">
        <v>320</v>
      </c>
      <c r="V9" s="183">
        <v>320</v>
      </c>
      <c r="W9" s="183">
        <v>320</v>
      </c>
      <c r="X9" s="183">
        <v>320</v>
      </c>
      <c r="Y9" s="183">
        <v>320</v>
      </c>
      <c r="Z9" s="184">
        <v>320</v>
      </c>
      <c r="AA9" s="203">
        <f>SUM(T9:Z9)</f>
        <v>3250</v>
      </c>
    </row>
    <row r="10" spans="2:28" ht="27" customHeight="1">
      <c r="B10" s="2"/>
      <c r="C10" s="597"/>
      <c r="D10" s="658"/>
      <c r="E10" s="135" t="s">
        <v>90</v>
      </c>
      <c r="F10" s="659"/>
      <c r="G10" s="166" t="s">
        <v>87</v>
      </c>
      <c r="H10" s="35"/>
      <c r="I10" s="35"/>
      <c r="J10" s="35"/>
      <c r="K10" s="35"/>
      <c r="L10" s="35"/>
      <c r="M10" s="108"/>
      <c r="N10" s="133">
        <v>85.5</v>
      </c>
      <c r="O10" s="72">
        <v>0</v>
      </c>
      <c r="P10" s="133">
        <v>240</v>
      </c>
      <c r="Q10" s="72">
        <v>320</v>
      </c>
      <c r="R10" s="72">
        <v>312</v>
      </c>
      <c r="S10" s="72">
        <v>309.5</v>
      </c>
      <c r="T10" s="202">
        <f t="shared" si="0"/>
        <v>1267</v>
      </c>
      <c r="U10" s="204">
        <v>362</v>
      </c>
      <c r="V10" s="133">
        <v>200</v>
      </c>
      <c r="W10" s="133">
        <f>160+173.5</f>
        <v>333.5</v>
      </c>
      <c r="X10" s="133">
        <v>361</v>
      </c>
      <c r="Y10" s="133">
        <v>360</v>
      </c>
      <c r="Z10" s="216">
        <v>160</v>
      </c>
      <c r="AA10" s="205">
        <f>SUM(T10:Z10)</f>
        <v>3043.5</v>
      </c>
    </row>
    <row r="11" spans="2:28" ht="27" customHeight="1">
      <c r="B11" s="2"/>
      <c r="C11" s="596">
        <v>2</v>
      </c>
      <c r="D11" s="660" t="s">
        <v>113</v>
      </c>
      <c r="E11" s="137" t="s">
        <v>89</v>
      </c>
      <c r="F11" s="604" t="s">
        <v>112</v>
      </c>
      <c r="G11" s="35" t="s">
        <v>86</v>
      </c>
      <c r="H11" s="35">
        <v>0</v>
      </c>
      <c r="I11" s="35">
        <v>50</v>
      </c>
      <c r="J11" s="35">
        <v>50</v>
      </c>
      <c r="K11" s="35">
        <v>100</v>
      </c>
      <c r="L11" s="35">
        <v>100</v>
      </c>
      <c r="M11" s="108">
        <f t="shared" ref="M11" si="3">SUM(H11:L11)</f>
        <v>300</v>
      </c>
      <c r="N11" s="193" t="s">
        <v>136</v>
      </c>
      <c r="O11" s="193" t="s">
        <v>136</v>
      </c>
      <c r="P11" s="193" t="s">
        <v>136</v>
      </c>
      <c r="Q11" s="193" t="s">
        <v>136</v>
      </c>
      <c r="R11" s="193" t="s">
        <v>136</v>
      </c>
      <c r="S11" s="193" t="s">
        <v>136</v>
      </c>
      <c r="T11" s="197">
        <f>SUM(N11:S11)</f>
        <v>0</v>
      </c>
      <c r="U11" s="193" t="s">
        <v>136</v>
      </c>
      <c r="V11" s="193" t="s">
        <v>136</v>
      </c>
      <c r="W11" s="183">
        <v>50</v>
      </c>
      <c r="X11" s="183">
        <v>50</v>
      </c>
      <c r="Y11" s="183">
        <v>50</v>
      </c>
      <c r="Z11" s="184">
        <v>50</v>
      </c>
      <c r="AA11" s="203">
        <f>SUM(T11:Z11)</f>
        <v>200</v>
      </c>
    </row>
    <row r="12" spans="2:28" ht="27" customHeight="1">
      <c r="B12" s="2"/>
      <c r="C12" s="597"/>
      <c r="D12" s="661"/>
      <c r="E12" s="135" t="s">
        <v>90</v>
      </c>
      <c r="F12" s="605"/>
      <c r="G12" s="166" t="s">
        <v>87</v>
      </c>
      <c r="H12" s="35"/>
      <c r="I12" s="35"/>
      <c r="J12" s="35"/>
      <c r="K12" s="35"/>
      <c r="L12" s="35"/>
      <c r="M12" s="108"/>
      <c r="N12" s="193" t="s">
        <v>136</v>
      </c>
      <c r="O12" s="193" t="s">
        <v>136</v>
      </c>
      <c r="P12" s="193" t="s">
        <v>136</v>
      </c>
      <c r="Q12" s="193" t="s">
        <v>136</v>
      </c>
      <c r="R12" s="193" t="s">
        <v>136</v>
      </c>
      <c r="S12" s="193" t="s">
        <v>136</v>
      </c>
      <c r="T12" s="202">
        <f t="shared" si="0"/>
        <v>0</v>
      </c>
      <c r="U12" s="193" t="s">
        <v>136</v>
      </c>
      <c r="V12" s="193" t="s">
        <v>136</v>
      </c>
      <c r="W12" s="200">
        <v>0</v>
      </c>
      <c r="X12" s="200">
        <v>0</v>
      </c>
      <c r="Y12" s="200">
        <v>0</v>
      </c>
      <c r="Z12" s="200">
        <v>0</v>
      </c>
      <c r="AA12" s="205">
        <f t="shared" si="1"/>
        <v>0</v>
      </c>
    </row>
    <row r="13" spans="2:28" ht="27" customHeight="1">
      <c r="B13" s="2"/>
      <c r="C13" s="596">
        <v>3</v>
      </c>
      <c r="D13" s="657" t="s">
        <v>130</v>
      </c>
      <c r="E13" s="627" t="s">
        <v>114</v>
      </c>
      <c r="F13" s="604" t="s">
        <v>112</v>
      </c>
      <c r="G13" s="43" t="s">
        <v>86</v>
      </c>
      <c r="H13" s="35">
        <v>0</v>
      </c>
      <c r="I13" s="35">
        <v>150</v>
      </c>
      <c r="J13" s="35">
        <v>150</v>
      </c>
      <c r="K13" s="35">
        <v>0</v>
      </c>
      <c r="L13" s="35">
        <v>0</v>
      </c>
      <c r="M13" s="108">
        <f t="shared" ref="M13" si="4">SUM(H13:L13)</f>
        <v>300</v>
      </c>
      <c r="N13" s="35">
        <v>200</v>
      </c>
      <c r="O13" s="35">
        <v>275</v>
      </c>
      <c r="P13" s="35">
        <v>300</v>
      </c>
      <c r="Q13" s="35">
        <v>300</v>
      </c>
      <c r="R13" s="35">
        <v>300</v>
      </c>
      <c r="S13" s="35">
        <v>300</v>
      </c>
      <c r="T13" s="196">
        <f t="shared" si="0"/>
        <v>1675</v>
      </c>
      <c r="U13" s="182">
        <v>300</v>
      </c>
      <c r="V13" s="183">
        <v>300</v>
      </c>
      <c r="W13" s="183">
        <v>150</v>
      </c>
      <c r="X13" s="183">
        <v>50</v>
      </c>
      <c r="Y13" s="183">
        <v>50</v>
      </c>
      <c r="Z13" s="184">
        <v>50</v>
      </c>
      <c r="AA13" s="203">
        <f>SUM(T13:Z13)</f>
        <v>2575</v>
      </c>
    </row>
    <row r="14" spans="2:28" ht="27" customHeight="1">
      <c r="B14" s="2"/>
      <c r="C14" s="597"/>
      <c r="D14" s="658"/>
      <c r="E14" s="628"/>
      <c r="F14" s="659"/>
      <c r="G14" s="166" t="s">
        <v>99</v>
      </c>
      <c r="H14" s="72">
        <v>3</v>
      </c>
      <c r="I14" s="69">
        <v>74</v>
      </c>
      <c r="J14" s="69">
        <v>109</v>
      </c>
      <c r="K14" s="72">
        <v>150</v>
      </c>
      <c r="L14" s="72">
        <v>446</v>
      </c>
      <c r="M14" s="108"/>
      <c r="N14" s="133">
        <v>447</v>
      </c>
      <c r="O14" s="133">
        <v>277</v>
      </c>
      <c r="P14" s="133">
        <v>356</v>
      </c>
      <c r="Q14" s="72">
        <v>230</v>
      </c>
      <c r="R14" s="72">
        <v>289</v>
      </c>
      <c r="S14" s="72">
        <v>333</v>
      </c>
      <c r="T14" s="202">
        <f t="shared" si="0"/>
        <v>1932</v>
      </c>
      <c r="U14" s="204">
        <v>569</v>
      </c>
      <c r="V14" s="204">
        <v>959</v>
      </c>
      <c r="W14" s="133">
        <v>397</v>
      </c>
      <c r="X14" s="133">
        <v>24</v>
      </c>
      <c r="Y14" s="200">
        <v>0</v>
      </c>
      <c r="Z14" s="200">
        <v>0</v>
      </c>
      <c r="AA14" s="205">
        <f>SUM(T14:Z14)</f>
        <v>3881</v>
      </c>
    </row>
    <row r="15" spans="2:28" ht="27" customHeight="1">
      <c r="B15" s="2"/>
      <c r="C15" s="596">
        <v>4</v>
      </c>
      <c r="D15" s="657" t="s">
        <v>131</v>
      </c>
      <c r="E15" s="626" t="s">
        <v>115</v>
      </c>
      <c r="F15" s="604" t="s">
        <v>112</v>
      </c>
      <c r="G15" s="35" t="s">
        <v>86</v>
      </c>
      <c r="H15" s="606" t="s">
        <v>98</v>
      </c>
      <c r="I15" s="607"/>
      <c r="J15" s="608"/>
      <c r="K15" s="35"/>
      <c r="L15" s="35"/>
      <c r="M15" s="108"/>
      <c r="N15" s="35">
        <v>150</v>
      </c>
      <c r="O15" s="35">
        <v>50</v>
      </c>
      <c r="P15" s="35">
        <v>150</v>
      </c>
      <c r="Q15" s="35">
        <v>150</v>
      </c>
      <c r="R15" s="35">
        <v>200</v>
      </c>
      <c r="S15" s="35">
        <v>200</v>
      </c>
      <c r="T15" s="196">
        <f t="shared" si="0"/>
        <v>900</v>
      </c>
      <c r="U15" s="182">
        <v>300</v>
      </c>
      <c r="V15" s="183">
        <v>200</v>
      </c>
      <c r="W15" s="183">
        <v>200</v>
      </c>
      <c r="X15" s="183">
        <v>100</v>
      </c>
      <c r="Y15" s="185">
        <v>200</v>
      </c>
      <c r="Z15" s="184">
        <v>200</v>
      </c>
      <c r="AA15" s="203">
        <f>SUM(T15:Z15)</f>
        <v>2100</v>
      </c>
    </row>
    <row r="16" spans="2:28" ht="27" customHeight="1">
      <c r="B16" s="2"/>
      <c r="C16" s="597"/>
      <c r="D16" s="578"/>
      <c r="E16" s="626"/>
      <c r="F16" s="659"/>
      <c r="G16" s="168" t="s">
        <v>99</v>
      </c>
      <c r="H16" s="609"/>
      <c r="I16" s="610"/>
      <c r="J16" s="611"/>
      <c r="K16" s="35"/>
      <c r="L16" s="35"/>
      <c r="M16" s="108"/>
      <c r="N16" s="72">
        <v>0</v>
      </c>
      <c r="O16" s="72">
        <v>0</v>
      </c>
      <c r="P16" s="72">
        <v>0</v>
      </c>
      <c r="Q16" s="173">
        <v>0</v>
      </c>
      <c r="R16" s="72">
        <v>0</v>
      </c>
      <c r="S16" s="72">
        <v>50</v>
      </c>
      <c r="T16" s="202">
        <f t="shared" si="0"/>
        <v>50</v>
      </c>
      <c r="U16" s="204">
        <v>672</v>
      </c>
      <c r="V16" s="133">
        <v>16</v>
      </c>
      <c r="W16" s="133">
        <f>20+34</f>
        <v>54</v>
      </c>
      <c r="X16" s="133">
        <v>59</v>
      </c>
      <c r="Y16" s="133">
        <v>136</v>
      </c>
      <c r="Z16" s="216">
        <v>146</v>
      </c>
      <c r="AA16" s="205">
        <f t="shared" si="1"/>
        <v>1133</v>
      </c>
    </row>
    <row r="17" spans="2:28" ht="27" customHeight="1">
      <c r="B17" s="2"/>
      <c r="C17" s="596">
        <v>5</v>
      </c>
      <c r="D17" s="662" t="s">
        <v>173</v>
      </c>
      <c r="E17" s="655" t="s">
        <v>133</v>
      </c>
      <c r="F17" s="604" t="s">
        <v>129</v>
      </c>
      <c r="G17" s="169" t="s">
        <v>86</v>
      </c>
      <c r="H17" s="612" t="s">
        <v>101</v>
      </c>
      <c r="I17" s="613"/>
      <c r="J17" s="614"/>
      <c r="K17" s="35"/>
      <c r="L17" s="35"/>
      <c r="M17" s="108"/>
      <c r="N17" s="35">
        <v>0</v>
      </c>
      <c r="O17" s="35">
        <v>0</v>
      </c>
      <c r="P17" s="35">
        <v>0</v>
      </c>
      <c r="Q17" s="35">
        <v>960</v>
      </c>
      <c r="R17" s="35">
        <v>960</v>
      </c>
      <c r="S17" s="35">
        <v>960</v>
      </c>
      <c r="T17" s="196">
        <f t="shared" si="0"/>
        <v>2880</v>
      </c>
      <c r="U17" s="193" t="s">
        <v>136</v>
      </c>
      <c r="V17" s="193" t="s">
        <v>136</v>
      </c>
      <c r="W17" s="193" t="s">
        <v>136</v>
      </c>
      <c r="X17" s="186">
        <v>100</v>
      </c>
      <c r="Y17" s="186">
        <v>100</v>
      </c>
      <c r="Z17" s="186">
        <v>100</v>
      </c>
      <c r="AA17" s="203">
        <f>SUM(X17:Z17)+T18</f>
        <v>300</v>
      </c>
    </row>
    <row r="18" spans="2:28" ht="27" customHeight="1">
      <c r="B18" s="2"/>
      <c r="C18" s="597"/>
      <c r="D18" s="663"/>
      <c r="E18" s="655"/>
      <c r="F18" s="659"/>
      <c r="G18" s="168" t="s">
        <v>99</v>
      </c>
      <c r="H18" s="612"/>
      <c r="I18" s="613"/>
      <c r="J18" s="614"/>
      <c r="K18" s="35"/>
      <c r="L18" s="35"/>
      <c r="M18" s="108"/>
      <c r="N18" s="72">
        <v>0</v>
      </c>
      <c r="O18" s="72">
        <v>0</v>
      </c>
      <c r="P18" s="72">
        <v>0</v>
      </c>
      <c r="Q18" s="173">
        <v>0</v>
      </c>
      <c r="R18" s="133">
        <v>0</v>
      </c>
      <c r="S18" s="72">
        <v>0</v>
      </c>
      <c r="T18" s="202">
        <f t="shared" si="0"/>
        <v>0</v>
      </c>
      <c r="U18" s="193" t="s">
        <v>136</v>
      </c>
      <c r="V18" s="193" t="s">
        <v>136</v>
      </c>
      <c r="W18" s="193" t="s">
        <v>136</v>
      </c>
      <c r="X18" s="199">
        <v>0</v>
      </c>
      <c r="Y18" s="199">
        <v>0</v>
      </c>
      <c r="Z18" s="199">
        <v>0</v>
      </c>
      <c r="AA18" s="205">
        <f t="shared" si="1"/>
        <v>0</v>
      </c>
    </row>
    <row r="19" spans="2:28" ht="27" customHeight="1">
      <c r="B19" s="2"/>
      <c r="C19" s="673">
        <v>6</v>
      </c>
      <c r="D19" s="802" t="s">
        <v>174</v>
      </c>
      <c r="E19" s="804" t="s">
        <v>118</v>
      </c>
      <c r="F19" s="618" t="s">
        <v>175</v>
      </c>
      <c r="G19" s="169" t="s">
        <v>86</v>
      </c>
      <c r="H19" s="80"/>
      <c r="I19" s="81"/>
      <c r="J19" s="82"/>
      <c r="K19" s="35"/>
      <c r="L19" s="35"/>
      <c r="M19" s="108"/>
      <c r="N19" s="193" t="s">
        <v>136</v>
      </c>
      <c r="O19" s="193" t="s">
        <v>136</v>
      </c>
      <c r="P19" s="193" t="s">
        <v>136</v>
      </c>
      <c r="Q19" s="193" t="s">
        <v>136</v>
      </c>
      <c r="R19" s="193" t="s">
        <v>136</v>
      </c>
      <c r="S19" s="193" t="s">
        <v>136</v>
      </c>
      <c r="T19" s="206">
        <f t="shared" si="0"/>
        <v>0</v>
      </c>
      <c r="U19" s="194" t="s">
        <v>136</v>
      </c>
      <c r="V19" s="193" t="s">
        <v>136</v>
      </c>
      <c r="W19" s="186">
        <v>50</v>
      </c>
      <c r="X19" s="186">
        <v>50</v>
      </c>
      <c r="Y19" s="186">
        <v>50</v>
      </c>
      <c r="Z19" s="186">
        <v>50</v>
      </c>
      <c r="AA19" s="203">
        <f>SUM(T19:Z19)</f>
        <v>200</v>
      </c>
    </row>
    <row r="20" spans="2:28" ht="27" customHeight="1">
      <c r="B20" s="2"/>
      <c r="C20" s="801"/>
      <c r="D20" s="803"/>
      <c r="E20" s="805"/>
      <c r="F20" s="659"/>
      <c r="G20" s="168" t="s">
        <v>99</v>
      </c>
      <c r="H20" s="83"/>
      <c r="I20" s="84"/>
      <c r="J20" s="85"/>
      <c r="K20" s="62"/>
      <c r="L20" s="62"/>
      <c r="M20" s="109"/>
      <c r="N20" s="193" t="s">
        <v>136</v>
      </c>
      <c r="O20" s="193" t="s">
        <v>136</v>
      </c>
      <c r="P20" s="193" t="s">
        <v>136</v>
      </c>
      <c r="Q20" s="193" t="s">
        <v>136</v>
      </c>
      <c r="R20" s="193" t="s">
        <v>136</v>
      </c>
      <c r="S20" s="193" t="s">
        <v>136</v>
      </c>
      <c r="T20" s="207">
        <f t="shared" si="0"/>
        <v>0</v>
      </c>
      <c r="U20" s="194" t="s">
        <v>136</v>
      </c>
      <c r="V20" s="193" t="s">
        <v>136</v>
      </c>
      <c r="W20" s="199">
        <v>0</v>
      </c>
      <c r="X20" s="199">
        <v>0</v>
      </c>
      <c r="Y20" s="199">
        <v>0</v>
      </c>
      <c r="Z20" s="199">
        <v>0</v>
      </c>
      <c r="AA20" s="205">
        <f t="shared" si="1"/>
        <v>0</v>
      </c>
    </row>
    <row r="21" spans="2:28" ht="27" customHeight="1">
      <c r="B21" s="2"/>
      <c r="C21" s="673">
        <v>7</v>
      </c>
      <c r="D21" s="664" t="s">
        <v>134</v>
      </c>
      <c r="E21" s="633" t="s">
        <v>135</v>
      </c>
      <c r="F21" s="604" t="s">
        <v>112</v>
      </c>
      <c r="G21" s="169" t="s">
        <v>86</v>
      </c>
      <c r="H21" s="83"/>
      <c r="I21" s="84"/>
      <c r="J21" s="85"/>
      <c r="K21" s="62"/>
      <c r="L21" s="62"/>
      <c r="M21" s="109"/>
      <c r="N21" s="193" t="s">
        <v>136</v>
      </c>
      <c r="O21" s="193" t="s">
        <v>136</v>
      </c>
      <c r="P21" s="193" t="s">
        <v>136</v>
      </c>
      <c r="Q21" s="193" t="s">
        <v>136</v>
      </c>
      <c r="R21" s="193" t="s">
        <v>136</v>
      </c>
      <c r="S21" s="193" t="s">
        <v>136</v>
      </c>
      <c r="T21" s="206">
        <f t="shared" si="0"/>
        <v>0</v>
      </c>
      <c r="U21" s="194" t="s">
        <v>136</v>
      </c>
      <c r="V21" s="186">
        <v>100</v>
      </c>
      <c r="W21" s="183">
        <v>100</v>
      </c>
      <c r="X21" s="186">
        <v>150</v>
      </c>
      <c r="Y21" s="186">
        <v>150</v>
      </c>
      <c r="Z21" s="186">
        <v>150</v>
      </c>
      <c r="AA21" s="203">
        <f>SUM(V21:Z21)</f>
        <v>650</v>
      </c>
    </row>
    <row r="22" spans="2:28" ht="27" customHeight="1">
      <c r="B22" s="2"/>
      <c r="C22" s="801"/>
      <c r="D22" s="665"/>
      <c r="E22" s="666"/>
      <c r="F22" s="659"/>
      <c r="G22" s="168" t="s">
        <v>99</v>
      </c>
      <c r="H22" s="83"/>
      <c r="I22" s="84"/>
      <c r="J22" s="85"/>
      <c r="K22" s="62"/>
      <c r="L22" s="62"/>
      <c r="M22" s="109"/>
      <c r="N22" s="193" t="s">
        <v>136</v>
      </c>
      <c r="O22" s="193" t="s">
        <v>136</v>
      </c>
      <c r="P22" s="193" t="s">
        <v>136</v>
      </c>
      <c r="Q22" s="193" t="s">
        <v>136</v>
      </c>
      <c r="R22" s="193" t="s">
        <v>136</v>
      </c>
      <c r="S22" s="193" t="s">
        <v>136</v>
      </c>
      <c r="T22" s="207"/>
      <c r="U22" s="194" t="s">
        <v>136</v>
      </c>
      <c r="V22" s="199">
        <v>0</v>
      </c>
      <c r="W22" s="199">
        <v>0</v>
      </c>
      <c r="X22" s="199">
        <v>0</v>
      </c>
      <c r="Y22" s="199">
        <v>0</v>
      </c>
      <c r="Z22" s="199">
        <v>0</v>
      </c>
      <c r="AA22" s="205">
        <f t="shared" si="1"/>
        <v>0</v>
      </c>
    </row>
    <row r="23" spans="2:28" ht="27" customHeight="1">
      <c r="B23" s="2"/>
      <c r="C23" s="673">
        <v>8</v>
      </c>
      <c r="D23" s="664" t="s">
        <v>137</v>
      </c>
      <c r="E23" s="633" t="s">
        <v>138</v>
      </c>
      <c r="F23" s="604" t="s">
        <v>110</v>
      </c>
      <c r="G23" s="169" t="s">
        <v>86</v>
      </c>
      <c r="H23" s="83"/>
      <c r="I23" s="84"/>
      <c r="J23" s="85"/>
      <c r="K23" s="62"/>
      <c r="L23" s="62"/>
      <c r="M23" s="109"/>
      <c r="N23" s="193" t="s">
        <v>136</v>
      </c>
      <c r="O23" s="193" t="s">
        <v>136</v>
      </c>
      <c r="P23" s="193" t="s">
        <v>136</v>
      </c>
      <c r="Q23" s="193" t="s">
        <v>136</v>
      </c>
      <c r="R23" s="193" t="s">
        <v>136</v>
      </c>
      <c r="S23" s="193" t="s">
        <v>136</v>
      </c>
      <c r="T23" s="206">
        <f t="shared" ref="T23" si="5">SUM(N23:S23)</f>
        <v>0</v>
      </c>
      <c r="U23" s="194" t="s">
        <v>136</v>
      </c>
      <c r="V23" s="193" t="s">
        <v>136</v>
      </c>
      <c r="W23" s="183">
        <v>50</v>
      </c>
      <c r="X23" s="183">
        <v>50</v>
      </c>
      <c r="Y23" s="183">
        <v>50</v>
      </c>
      <c r="Z23" s="183">
        <v>50</v>
      </c>
      <c r="AA23" s="203">
        <f>SUM(W23:Z23)</f>
        <v>200</v>
      </c>
    </row>
    <row r="24" spans="2:28" ht="27" customHeight="1">
      <c r="B24" s="2"/>
      <c r="C24" s="801"/>
      <c r="D24" s="665"/>
      <c r="E24" s="666"/>
      <c r="F24" s="541"/>
      <c r="G24" s="168" t="s">
        <v>99</v>
      </c>
      <c r="H24" s="83"/>
      <c r="I24" s="84"/>
      <c r="J24" s="85"/>
      <c r="K24" s="62"/>
      <c r="L24" s="62"/>
      <c r="M24" s="109"/>
      <c r="N24" s="193" t="s">
        <v>136</v>
      </c>
      <c r="O24" s="193" t="s">
        <v>136</v>
      </c>
      <c r="P24" s="193" t="s">
        <v>136</v>
      </c>
      <c r="Q24" s="193" t="s">
        <v>136</v>
      </c>
      <c r="R24" s="193" t="s">
        <v>136</v>
      </c>
      <c r="S24" s="193" t="s">
        <v>136</v>
      </c>
      <c r="T24" s="207"/>
      <c r="U24" s="194" t="s">
        <v>136</v>
      </c>
      <c r="V24" s="193" t="s">
        <v>136</v>
      </c>
      <c r="W24" s="199">
        <v>0</v>
      </c>
      <c r="X24" s="199">
        <v>0</v>
      </c>
      <c r="Y24" s="72">
        <v>7</v>
      </c>
      <c r="Z24" s="178">
        <v>0</v>
      </c>
      <c r="AA24" s="205">
        <f t="shared" si="1"/>
        <v>7</v>
      </c>
    </row>
    <row r="25" spans="2:28" ht="27" customHeight="1">
      <c r="B25" s="2"/>
      <c r="C25" s="673">
        <v>9</v>
      </c>
      <c r="D25" s="664" t="s">
        <v>176</v>
      </c>
      <c r="E25" s="633" t="s">
        <v>177</v>
      </c>
      <c r="F25" s="604" t="s">
        <v>110</v>
      </c>
      <c r="G25" s="169" t="s">
        <v>86</v>
      </c>
      <c r="H25" s="80"/>
      <c r="I25" s="81"/>
      <c r="J25" s="82"/>
      <c r="K25" s="35"/>
      <c r="L25" s="35"/>
      <c r="M25" s="108"/>
      <c r="N25" s="193" t="s">
        <v>136</v>
      </c>
      <c r="O25" s="193" t="s">
        <v>136</v>
      </c>
      <c r="P25" s="193" t="s">
        <v>136</v>
      </c>
      <c r="Q25" s="193" t="s">
        <v>136</v>
      </c>
      <c r="R25" s="193" t="s">
        <v>136</v>
      </c>
      <c r="S25" s="193" t="s">
        <v>136</v>
      </c>
      <c r="T25" s="206">
        <f t="shared" ref="T25" si="6">SUM(N25:S25)</f>
        <v>0</v>
      </c>
      <c r="U25" s="194" t="s">
        <v>136</v>
      </c>
      <c r="V25" s="193" t="s">
        <v>136</v>
      </c>
      <c r="W25" s="193" t="s">
        <v>136</v>
      </c>
      <c r="X25" s="186">
        <v>50</v>
      </c>
      <c r="Y25" s="186">
        <v>50</v>
      </c>
      <c r="Z25" s="186">
        <v>50</v>
      </c>
      <c r="AA25" s="203">
        <f>SUM(T25:Z25)</f>
        <v>150</v>
      </c>
    </row>
    <row r="26" spans="2:28" ht="27" customHeight="1">
      <c r="B26" s="2"/>
      <c r="C26" s="801"/>
      <c r="D26" s="806"/>
      <c r="E26" s="634"/>
      <c r="F26" s="807"/>
      <c r="G26" s="168" t="s">
        <v>99</v>
      </c>
      <c r="H26" s="83"/>
      <c r="I26" s="84"/>
      <c r="J26" s="85"/>
      <c r="K26" s="62"/>
      <c r="L26" s="62"/>
      <c r="M26" s="109"/>
      <c r="N26" s="193" t="s">
        <v>136</v>
      </c>
      <c r="O26" s="193" t="s">
        <v>136</v>
      </c>
      <c r="P26" s="193" t="s">
        <v>136</v>
      </c>
      <c r="Q26" s="193" t="s">
        <v>136</v>
      </c>
      <c r="R26" s="193" t="s">
        <v>136</v>
      </c>
      <c r="S26" s="193" t="s">
        <v>136</v>
      </c>
      <c r="T26" s="208">
        <f t="shared" si="0"/>
        <v>0</v>
      </c>
      <c r="U26" s="194" t="s">
        <v>136</v>
      </c>
      <c r="V26" s="193" t="s">
        <v>136</v>
      </c>
      <c r="W26" s="209" t="s">
        <v>136</v>
      </c>
      <c r="X26" s="199">
        <v>0</v>
      </c>
      <c r="Y26" s="199">
        <v>0</v>
      </c>
      <c r="Z26" s="199">
        <v>0</v>
      </c>
      <c r="AA26" s="205">
        <f t="shared" si="1"/>
        <v>0</v>
      </c>
      <c r="AB26" s="192"/>
    </row>
    <row r="27" spans="2:28" ht="19.5" customHeight="1">
      <c r="B27" s="2"/>
      <c r="C27" s="645" t="s">
        <v>122</v>
      </c>
      <c r="D27" s="646"/>
      <c r="E27" s="646"/>
      <c r="F27" s="647"/>
      <c r="G27" s="12" t="s">
        <v>86</v>
      </c>
      <c r="H27" s="12">
        <f>SUMIF(G5:G26,"計画",H5:H26)</f>
        <v>200</v>
      </c>
      <c r="I27" s="12">
        <f>SUMIF(G5:G26,"計画",I5:I26)</f>
        <v>500</v>
      </c>
      <c r="J27" s="12">
        <f>SUMIF(G5:G26,"計画",J5:J26)</f>
        <v>600</v>
      </c>
      <c r="K27" s="12">
        <f ca="1">SUMIF(G5:J26,"計画",K5:K26)</f>
        <v>550</v>
      </c>
      <c r="L27" s="12">
        <f>SUMIF(G5:G26,"計画",L5:L26)</f>
        <v>700</v>
      </c>
      <c r="M27" s="76">
        <f ca="1">SUM(H27:L27)</f>
        <v>2550</v>
      </c>
      <c r="N27" s="12">
        <f>SUMIF(G5:G26,"計画",N5:N26)</f>
        <v>500</v>
      </c>
      <c r="O27" s="12">
        <f>SUMIF(G5:G26,"計画",O5:O26)</f>
        <v>375</v>
      </c>
      <c r="P27" s="12">
        <f>SUMIF(G5:G26,"計画",P5:P26)</f>
        <v>1120</v>
      </c>
      <c r="Q27" s="12">
        <f>SUMIF(G5:G26,"計画",Q5:Q26)</f>
        <v>2080</v>
      </c>
      <c r="R27" s="12">
        <f>SUMIF(G5:G26,"計画",R5:R26)</f>
        <v>2230</v>
      </c>
      <c r="S27" s="12">
        <f>SUMIF(G5:G26,"計画",S5:S26)</f>
        <v>2355</v>
      </c>
      <c r="T27" s="154">
        <f>SUM(N27:S27)</f>
        <v>8660</v>
      </c>
      <c r="U27" s="153">
        <f>SUMIF(G5:G26,"計画",U5:U26)</f>
        <v>920</v>
      </c>
      <c r="V27" s="12">
        <f>SUMIF(G5:G26,"計画",V5:V26)</f>
        <v>920</v>
      </c>
      <c r="W27" s="12">
        <f>SUMIF(G5:G26,"計画",W5:W26)</f>
        <v>920</v>
      </c>
      <c r="X27" s="12">
        <f>SUMIF(G5:G26,"計画",X5:X26)</f>
        <v>920</v>
      </c>
      <c r="Y27" s="12">
        <f>SUMIF(G5:G26,"計画",Y5:Y26)</f>
        <v>1020</v>
      </c>
      <c r="Z27" s="143">
        <f>SUMIF(G5:G26,"計画",Z5:Z26)</f>
        <v>1020</v>
      </c>
      <c r="AA27" s="154">
        <f>T28+SUM(U27:Z27)</f>
        <v>8969</v>
      </c>
    </row>
    <row r="28" spans="2:28">
      <c r="B28" s="2"/>
      <c r="C28" s="648"/>
      <c r="D28" s="649"/>
      <c r="E28" s="649"/>
      <c r="F28" s="650"/>
      <c r="G28" s="170" t="s">
        <v>87</v>
      </c>
      <c r="H28" s="10">
        <f>SUMIF(G5:G27,"実績",H5:H27)</f>
        <v>207</v>
      </c>
      <c r="I28" s="10">
        <f ca="1">SUMIF(G5:H27,"実績",I5:I27)</f>
        <v>224</v>
      </c>
      <c r="J28" s="10">
        <f ca="1">SUMIF(G5:I26,"実績",J5:J26)</f>
        <v>109</v>
      </c>
      <c r="K28" s="10">
        <f ca="1">SUMIF(G5:J26,"実績",K5:K26)</f>
        <v>275</v>
      </c>
      <c r="L28" s="10">
        <f ca="1">SUMIF(G5:K26,"実績",L5:L26)</f>
        <v>446</v>
      </c>
      <c r="M28" s="155">
        <f ca="1">SUM(H28:L28)</f>
        <v>1261</v>
      </c>
      <c r="N28" s="156">
        <f t="shared" ref="N28:R28" si="7">SUMIF($G$5:$G$26,"実績",N5:N26)</f>
        <v>532.5</v>
      </c>
      <c r="O28" s="156">
        <f t="shared" si="7"/>
        <v>277</v>
      </c>
      <c r="P28" s="156">
        <f t="shared" si="7"/>
        <v>596</v>
      </c>
      <c r="Q28" s="156">
        <f t="shared" si="7"/>
        <v>550</v>
      </c>
      <c r="R28" s="156">
        <f t="shared" si="7"/>
        <v>601</v>
      </c>
      <c r="S28" s="156">
        <f>SUMIF($G$5:$G$26,"実績",S5:S26)</f>
        <v>692.5</v>
      </c>
      <c r="T28" s="157">
        <f>SUM(N28:S28)</f>
        <v>3249</v>
      </c>
      <c r="U28" s="156">
        <f t="shared" ref="U28:Z28" si="8">SUMIF($G$5:$G$26,"実績",U5:U26)</f>
        <v>1603</v>
      </c>
      <c r="V28" s="156">
        <f>SUMIF($G$5:$G$26,"実績",V5:V26)</f>
        <v>1175</v>
      </c>
      <c r="W28" s="156">
        <f t="shared" si="8"/>
        <v>784.5</v>
      </c>
      <c r="X28" s="156">
        <f t="shared" si="8"/>
        <v>444</v>
      </c>
      <c r="Y28" s="156">
        <f t="shared" si="8"/>
        <v>503</v>
      </c>
      <c r="Z28" s="156">
        <f t="shared" si="8"/>
        <v>306</v>
      </c>
      <c r="AA28" s="157">
        <f>SUM(T28:Z28)</f>
        <v>8064.5</v>
      </c>
    </row>
    <row r="29" spans="2:28" ht="33.75" customHeight="1">
      <c r="B29" s="2"/>
      <c r="C29" s="645" t="s">
        <v>123</v>
      </c>
      <c r="D29" s="646"/>
      <c r="E29" s="646"/>
      <c r="F29" s="647"/>
      <c r="G29" s="12" t="s">
        <v>124</v>
      </c>
      <c r="H29" s="12"/>
      <c r="I29" s="12"/>
      <c r="J29" s="12"/>
      <c r="K29" s="12"/>
      <c r="L29" s="12"/>
      <c r="M29" s="12"/>
      <c r="N29" s="12">
        <f>N27</f>
        <v>500</v>
      </c>
      <c r="O29" s="12">
        <f>N29+O27</f>
        <v>875</v>
      </c>
      <c r="P29" s="12">
        <f>O29+P27</f>
        <v>1995</v>
      </c>
      <c r="Q29" s="12">
        <f>P29+Q27</f>
        <v>4075</v>
      </c>
      <c r="R29" s="12">
        <f>Q29+R27</f>
        <v>6305</v>
      </c>
      <c r="S29" s="12">
        <f>R29+S27</f>
        <v>8660</v>
      </c>
      <c r="T29" s="154">
        <f>S29</f>
        <v>8660</v>
      </c>
      <c r="U29" s="187">
        <f>S30+U27</f>
        <v>4169</v>
      </c>
      <c r="V29" s="188">
        <f t="shared" ref="V29:Z30" si="9">U29+V27</f>
        <v>5089</v>
      </c>
      <c r="W29" s="188">
        <f t="shared" si="9"/>
        <v>6009</v>
      </c>
      <c r="X29" s="188">
        <f t="shared" si="9"/>
        <v>6929</v>
      </c>
      <c r="Y29" s="188">
        <f t="shared" si="9"/>
        <v>7949</v>
      </c>
      <c r="Z29" s="189">
        <f t="shared" si="9"/>
        <v>8969</v>
      </c>
      <c r="AA29" s="190">
        <f>Z29</f>
        <v>8969</v>
      </c>
    </row>
    <row r="30" spans="2:28" ht="27.75" customHeight="1">
      <c r="B30" s="2"/>
      <c r="C30" s="651"/>
      <c r="D30" s="652"/>
      <c r="E30" s="652"/>
      <c r="F30" s="653"/>
      <c r="G30" s="171" t="s">
        <v>99</v>
      </c>
      <c r="H30" s="160"/>
      <c r="I30" s="160"/>
      <c r="J30" s="160"/>
      <c r="K30" s="160"/>
      <c r="L30" s="160"/>
      <c r="M30" s="160"/>
      <c r="N30" s="144">
        <f>N28</f>
        <v>532.5</v>
      </c>
      <c r="O30" s="144">
        <f>N30+O28</f>
        <v>809.5</v>
      </c>
      <c r="P30" s="144">
        <f t="shared" ref="P30:R30" si="10">O30+P28</f>
        <v>1405.5</v>
      </c>
      <c r="Q30" s="144">
        <f t="shared" si="10"/>
        <v>1955.5</v>
      </c>
      <c r="R30" s="144">
        <f t="shared" si="10"/>
        <v>2556.5</v>
      </c>
      <c r="S30" s="144">
        <f>R30+S28</f>
        <v>3249</v>
      </c>
      <c r="T30" s="161">
        <f>S30</f>
        <v>3249</v>
      </c>
      <c r="U30" s="144">
        <f>T30+U28</f>
        <v>4852</v>
      </c>
      <c r="V30" s="144">
        <f t="shared" si="9"/>
        <v>6027</v>
      </c>
      <c r="W30" s="144">
        <f t="shared" si="9"/>
        <v>6811.5</v>
      </c>
      <c r="X30" s="144">
        <f t="shared" si="9"/>
        <v>7255.5</v>
      </c>
      <c r="Y30" s="217">
        <f t="shared" si="9"/>
        <v>7758.5</v>
      </c>
      <c r="Z30" s="218">
        <f>Y30+Z28</f>
        <v>8064.5</v>
      </c>
      <c r="AA30" s="161"/>
    </row>
    <row r="31" spans="2:28" ht="22.5" customHeight="1">
      <c r="B31" s="2"/>
      <c r="T31" s="139"/>
      <c r="AA31" s="139"/>
    </row>
    <row r="32" spans="2:28" ht="22.5" customHeight="1">
      <c r="B32" s="2"/>
      <c r="H32" s="594"/>
      <c r="I32" s="594"/>
      <c r="J32" s="594"/>
      <c r="K32" s="595"/>
      <c r="L32" s="595"/>
      <c r="M32" s="595"/>
      <c r="T32" s="1"/>
      <c r="V32" s="594" t="s">
        <v>86</v>
      </c>
      <c r="W32" s="594"/>
      <c r="X32" s="594"/>
      <c r="Y32" s="595" t="s">
        <v>99</v>
      </c>
      <c r="Z32" s="595"/>
      <c r="AA32" s="595"/>
    </row>
    <row r="33" spans="2:27" ht="22.5" customHeight="1">
      <c r="B33" s="2"/>
      <c r="D33" s="590"/>
      <c r="E33" s="591"/>
      <c r="F33" s="591"/>
      <c r="G33" s="592"/>
      <c r="H33" s="587"/>
      <c r="I33" s="588"/>
      <c r="J33" s="589"/>
      <c r="K33" s="587"/>
      <c r="L33" s="588"/>
      <c r="M33" s="589"/>
      <c r="O33" s="593" t="s">
        <v>103</v>
      </c>
      <c r="P33" s="593"/>
      <c r="Q33" s="593"/>
      <c r="R33" s="593"/>
      <c r="S33" s="593"/>
      <c r="T33" s="593"/>
      <c r="U33" s="593"/>
      <c r="V33" s="587">
        <f>SUM(AA27)</f>
        <v>8969</v>
      </c>
      <c r="W33" s="588"/>
      <c r="X33" s="589"/>
      <c r="Y33" s="587">
        <f>AA30</f>
        <v>0</v>
      </c>
      <c r="Z33" s="588"/>
      <c r="AA33" s="589"/>
    </row>
    <row r="34" spans="2:27" ht="22.5" customHeight="1">
      <c r="D34" s="590"/>
      <c r="E34" s="591"/>
      <c r="F34" s="591"/>
      <c r="G34" s="592"/>
      <c r="H34" s="587"/>
      <c r="I34" s="588"/>
      <c r="J34" s="589"/>
      <c r="K34" s="587"/>
      <c r="L34" s="588"/>
      <c r="M34" s="589"/>
      <c r="O34" s="593" t="s">
        <v>35</v>
      </c>
      <c r="P34" s="593"/>
      <c r="Q34" s="593"/>
      <c r="R34" s="593"/>
      <c r="S34" s="593"/>
      <c r="T34" s="593"/>
      <c r="U34" s="593"/>
      <c r="V34" s="587">
        <f>V33*1800</f>
        <v>16144200</v>
      </c>
      <c r="W34" s="588"/>
      <c r="X34" s="589"/>
      <c r="Y34" s="587">
        <f>Y33*1800</f>
        <v>0</v>
      </c>
      <c r="Z34" s="588"/>
      <c r="AA34" s="589"/>
    </row>
    <row r="35" spans="2:27">
      <c r="D35" s="590"/>
      <c r="E35" s="591"/>
      <c r="F35" s="591"/>
      <c r="G35" s="592"/>
      <c r="H35" s="587"/>
      <c r="I35" s="588"/>
      <c r="J35" s="589"/>
      <c r="K35" s="587"/>
      <c r="L35" s="588"/>
      <c r="M35" s="589"/>
      <c r="O35" s="593" t="s">
        <v>36</v>
      </c>
      <c r="P35" s="593"/>
      <c r="Q35" s="593"/>
      <c r="R35" s="593"/>
      <c r="S35" s="593"/>
      <c r="T35" s="593"/>
      <c r="U35" s="593"/>
      <c r="V35" s="587">
        <v>165</v>
      </c>
      <c r="W35" s="588"/>
      <c r="X35" s="589"/>
      <c r="Y35" s="587">
        <v>165</v>
      </c>
      <c r="Z35" s="588"/>
      <c r="AA35" s="589"/>
    </row>
    <row r="36" spans="2:27">
      <c r="D36" s="590"/>
      <c r="E36" s="591"/>
      <c r="F36" s="591"/>
      <c r="G36" s="592"/>
      <c r="H36" s="587"/>
      <c r="I36" s="588"/>
      <c r="J36" s="589"/>
      <c r="K36" s="587"/>
      <c r="L36" s="588"/>
      <c r="M36" s="589"/>
      <c r="O36" s="593" t="s">
        <v>37</v>
      </c>
      <c r="P36" s="593"/>
      <c r="Q36" s="593"/>
      <c r="R36" s="593"/>
      <c r="S36" s="593"/>
      <c r="T36" s="593"/>
      <c r="U36" s="593"/>
      <c r="V36" s="587">
        <f>V34*V35</f>
        <v>2663793000</v>
      </c>
      <c r="W36" s="588"/>
      <c r="X36" s="589"/>
      <c r="Y36" s="587">
        <f>Y34*Y35</f>
        <v>0</v>
      </c>
      <c r="Z36" s="588"/>
      <c r="AA36" s="589"/>
    </row>
    <row r="37" spans="2:27" ht="19.149999999999999" customHeight="1">
      <c r="C37" s="139"/>
      <c r="D37" s="191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</row>
    <row r="38" spans="2:27">
      <c r="C38" s="139"/>
      <c r="D38" s="191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</row>
    <row r="39" spans="2:27">
      <c r="C39" s="139"/>
      <c r="D39" s="191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</row>
    <row r="40" spans="2:27">
      <c r="C40" s="139"/>
      <c r="D40" s="191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</row>
    <row r="41" spans="2:27" s="139" customFormat="1">
      <c r="D41" s="191"/>
    </row>
    <row r="42" spans="2:27" s="139" customFormat="1">
      <c r="D42" s="191"/>
    </row>
    <row r="43" spans="2:27" s="139" customFormat="1">
      <c r="D43" s="191"/>
    </row>
    <row r="44" spans="2:27" s="139" customFormat="1">
      <c r="D44" s="191"/>
    </row>
    <row r="45" spans="2:27" s="139" customFormat="1">
      <c r="D45" s="191"/>
    </row>
    <row r="46" spans="2:27" s="139" customFormat="1">
      <c r="D46" s="191"/>
    </row>
    <row r="47" spans="2:27" s="139" customFormat="1">
      <c r="D47" s="191"/>
    </row>
    <row r="48" spans="2:27" s="139" customFormat="1">
      <c r="D48" s="191"/>
    </row>
    <row r="49" spans="4:4" s="139" customFormat="1">
      <c r="D49" s="191"/>
    </row>
    <row r="50" spans="4:4" s="139" customFormat="1">
      <c r="D50" s="191"/>
    </row>
    <row r="51" spans="4:4" s="139" customFormat="1">
      <c r="D51" s="191"/>
    </row>
    <row r="52" spans="4:4" s="139" customFormat="1">
      <c r="D52" s="191"/>
    </row>
    <row r="53" spans="4:4" s="139" customFormat="1">
      <c r="D53" s="191"/>
    </row>
    <row r="54" spans="4:4" s="139" customFormat="1">
      <c r="D54" s="191"/>
    </row>
    <row r="55" spans="4:4" s="139" customFormat="1">
      <c r="D55" s="191"/>
    </row>
    <row r="56" spans="4:4" s="139" customFormat="1">
      <c r="D56" s="191"/>
    </row>
    <row r="57" spans="4:4" s="139" customFormat="1">
      <c r="D57" s="191"/>
    </row>
    <row r="58" spans="4:4" s="139" customFormat="1">
      <c r="D58" s="191"/>
    </row>
    <row r="59" spans="4:4" s="139" customFormat="1">
      <c r="D59" s="191"/>
    </row>
    <row r="60" spans="4:4" s="139" customFormat="1">
      <c r="D60" s="191"/>
    </row>
    <row r="61" spans="4:4" s="139" customFormat="1">
      <c r="D61" s="191"/>
    </row>
    <row r="62" spans="4:4" s="139" customFormat="1">
      <c r="D62" s="191"/>
    </row>
    <row r="63" spans="4:4" s="139" customFormat="1">
      <c r="D63" s="191"/>
    </row>
    <row r="64" spans="4:4" s="139" customFormat="1">
      <c r="D64" s="191"/>
    </row>
    <row r="65" spans="4:4" s="139" customFormat="1">
      <c r="D65" s="191"/>
    </row>
    <row r="66" spans="4:4" s="139" customFormat="1">
      <c r="D66" s="191"/>
    </row>
    <row r="67" spans="4:4" s="139" customFormat="1">
      <c r="D67" s="191"/>
    </row>
    <row r="68" spans="4:4" s="139" customFormat="1">
      <c r="D68" s="191"/>
    </row>
    <row r="69" spans="4:4" s="139" customFormat="1">
      <c r="D69" s="191"/>
    </row>
    <row r="70" spans="4:4" s="139" customFormat="1">
      <c r="D70" s="191"/>
    </row>
    <row r="71" spans="4:4" s="139" customFormat="1">
      <c r="D71" s="191"/>
    </row>
    <row r="72" spans="4:4" s="139" customFormat="1">
      <c r="D72" s="191"/>
    </row>
    <row r="73" spans="4:4" s="139" customFormat="1">
      <c r="D73" s="191"/>
    </row>
    <row r="74" spans="4:4" s="139" customFormat="1">
      <c r="D74" s="191"/>
    </row>
    <row r="75" spans="4:4" s="139" customFormat="1">
      <c r="D75" s="191"/>
    </row>
    <row r="76" spans="4:4" s="139" customFormat="1">
      <c r="D76" s="191"/>
    </row>
    <row r="77" spans="4:4" s="139" customFormat="1">
      <c r="D77" s="191"/>
    </row>
    <row r="78" spans="4:4" s="139" customFormat="1">
      <c r="D78" s="191"/>
    </row>
    <row r="79" spans="4:4" s="139" customFormat="1">
      <c r="D79" s="191"/>
    </row>
    <row r="80" spans="4:4" s="139" customFormat="1">
      <c r="D80" s="191"/>
    </row>
    <row r="81" spans="4:4" s="139" customFormat="1">
      <c r="D81" s="191"/>
    </row>
    <row r="82" spans="4:4" s="139" customFormat="1">
      <c r="D82" s="191"/>
    </row>
    <row r="83" spans="4:4" s="139" customFormat="1">
      <c r="D83" s="191"/>
    </row>
    <row r="84" spans="4:4" s="139" customFormat="1">
      <c r="D84" s="191"/>
    </row>
    <row r="85" spans="4:4" s="139" customFormat="1">
      <c r="D85" s="191"/>
    </row>
    <row r="86" spans="4:4" s="139" customFormat="1">
      <c r="D86" s="191"/>
    </row>
    <row r="87" spans="4:4" s="139" customFormat="1">
      <c r="D87" s="191"/>
    </row>
    <row r="88" spans="4:4" s="139" customFormat="1">
      <c r="D88" s="191"/>
    </row>
    <row r="89" spans="4:4" s="139" customFormat="1">
      <c r="D89" s="191"/>
    </row>
    <row r="90" spans="4:4" s="139" customFormat="1">
      <c r="D90" s="191"/>
    </row>
    <row r="91" spans="4:4" s="139" customFormat="1">
      <c r="D91" s="191"/>
    </row>
    <row r="92" spans="4:4" s="139" customFormat="1">
      <c r="D92" s="191"/>
    </row>
    <row r="93" spans="4:4" s="139" customFormat="1">
      <c r="D93" s="191"/>
    </row>
    <row r="94" spans="4:4" s="139" customFormat="1">
      <c r="D94" s="191"/>
    </row>
    <row r="95" spans="4:4" s="139" customFormat="1">
      <c r="D95" s="191"/>
    </row>
    <row r="96" spans="4:4" s="139" customFormat="1">
      <c r="D96" s="191"/>
    </row>
    <row r="97" spans="4:4" s="139" customFormat="1">
      <c r="D97" s="191"/>
    </row>
    <row r="98" spans="4:4" s="139" customFormat="1">
      <c r="D98" s="191"/>
    </row>
    <row r="99" spans="4:4" s="139" customFormat="1">
      <c r="D99" s="191"/>
    </row>
    <row r="100" spans="4:4" s="139" customFormat="1">
      <c r="D100" s="191"/>
    </row>
    <row r="101" spans="4:4" s="139" customFormat="1">
      <c r="D101" s="191"/>
    </row>
    <row r="102" spans="4:4" s="139" customFormat="1">
      <c r="D102" s="191"/>
    </row>
    <row r="103" spans="4:4" s="139" customFormat="1">
      <c r="D103" s="191"/>
    </row>
    <row r="104" spans="4:4" s="139" customFormat="1">
      <c r="D104" s="191"/>
    </row>
    <row r="105" spans="4:4" s="139" customFormat="1">
      <c r="D105" s="191"/>
    </row>
    <row r="106" spans="4:4" s="139" customFormat="1">
      <c r="D106" s="191"/>
    </row>
    <row r="107" spans="4:4" s="139" customFormat="1">
      <c r="D107" s="191"/>
    </row>
    <row r="108" spans="4:4" s="139" customFormat="1">
      <c r="D108" s="191"/>
    </row>
    <row r="109" spans="4:4" s="139" customFormat="1">
      <c r="D109" s="191"/>
    </row>
    <row r="110" spans="4:4" s="139" customFormat="1">
      <c r="D110" s="191"/>
    </row>
    <row r="111" spans="4:4" s="139" customFormat="1">
      <c r="D111" s="191"/>
    </row>
    <row r="112" spans="4:4" s="139" customFormat="1">
      <c r="D112" s="191"/>
    </row>
    <row r="113" spans="4:4" s="139" customFormat="1">
      <c r="D113" s="191"/>
    </row>
    <row r="114" spans="4:4" s="139" customFormat="1">
      <c r="D114" s="191"/>
    </row>
    <row r="115" spans="4:4" s="139" customFormat="1">
      <c r="D115" s="191"/>
    </row>
    <row r="116" spans="4:4" s="139" customFormat="1">
      <c r="D116" s="191"/>
    </row>
    <row r="117" spans="4:4" s="139" customFormat="1">
      <c r="D117" s="191"/>
    </row>
    <row r="118" spans="4:4" s="139" customFormat="1">
      <c r="D118" s="191"/>
    </row>
    <row r="119" spans="4:4" s="139" customFormat="1">
      <c r="D119" s="191"/>
    </row>
    <row r="120" spans="4:4" s="139" customFormat="1">
      <c r="D120" s="191"/>
    </row>
    <row r="121" spans="4:4" s="139" customFormat="1">
      <c r="D121" s="191"/>
    </row>
    <row r="122" spans="4:4" s="139" customFormat="1">
      <c r="D122" s="191"/>
    </row>
    <row r="123" spans="4:4" s="139" customFormat="1">
      <c r="D123" s="191"/>
    </row>
    <row r="124" spans="4:4" s="139" customFormat="1">
      <c r="D124" s="191"/>
    </row>
    <row r="125" spans="4:4" s="139" customFormat="1">
      <c r="D125" s="191"/>
    </row>
    <row r="126" spans="4:4" s="139" customFormat="1">
      <c r="D126" s="191"/>
    </row>
    <row r="127" spans="4:4" s="139" customFormat="1">
      <c r="D127" s="191"/>
    </row>
    <row r="128" spans="4:4" s="139" customFormat="1">
      <c r="D128" s="191"/>
    </row>
    <row r="129" spans="4:4" s="139" customFormat="1">
      <c r="D129" s="191"/>
    </row>
    <row r="130" spans="4:4" s="139" customFormat="1">
      <c r="D130" s="191"/>
    </row>
    <row r="131" spans="4:4" s="139" customFormat="1">
      <c r="D131" s="191"/>
    </row>
    <row r="132" spans="4:4" s="139" customFormat="1">
      <c r="D132" s="191"/>
    </row>
    <row r="133" spans="4:4" s="139" customFormat="1">
      <c r="D133" s="191"/>
    </row>
    <row r="134" spans="4:4" s="139" customFormat="1">
      <c r="D134" s="191"/>
    </row>
    <row r="135" spans="4:4" s="139" customFormat="1">
      <c r="D135" s="191"/>
    </row>
    <row r="136" spans="4:4" s="139" customFormat="1">
      <c r="D136" s="191"/>
    </row>
    <row r="137" spans="4:4" s="139" customFormat="1">
      <c r="D137" s="191"/>
    </row>
    <row r="138" spans="4:4" s="139" customFormat="1">
      <c r="D138" s="191"/>
    </row>
    <row r="139" spans="4:4" s="139" customFormat="1">
      <c r="D139" s="191"/>
    </row>
    <row r="140" spans="4:4" s="139" customFormat="1">
      <c r="D140" s="191"/>
    </row>
    <row r="141" spans="4:4" s="139" customFormat="1">
      <c r="D141" s="191"/>
    </row>
    <row r="142" spans="4:4" s="139" customFormat="1">
      <c r="D142" s="191"/>
    </row>
    <row r="143" spans="4:4" s="139" customFormat="1">
      <c r="D143" s="191"/>
    </row>
    <row r="144" spans="4:4" s="139" customFormat="1">
      <c r="D144" s="191"/>
    </row>
    <row r="145" spans="4:4" s="139" customFormat="1">
      <c r="D145" s="191"/>
    </row>
    <row r="146" spans="4:4" s="139" customFormat="1">
      <c r="D146" s="191"/>
    </row>
    <row r="147" spans="4:4" s="139" customFormat="1">
      <c r="D147" s="191"/>
    </row>
    <row r="148" spans="4:4" s="139" customFormat="1">
      <c r="D148" s="191"/>
    </row>
    <row r="149" spans="4:4" s="139" customFormat="1">
      <c r="D149" s="191"/>
    </row>
    <row r="150" spans="4:4" s="139" customFormat="1">
      <c r="D150" s="191"/>
    </row>
    <row r="151" spans="4:4" s="139" customFormat="1">
      <c r="D151" s="191"/>
    </row>
    <row r="152" spans="4:4" s="139" customFormat="1">
      <c r="D152" s="191"/>
    </row>
    <row r="153" spans="4:4" s="139" customFormat="1">
      <c r="D153" s="191"/>
    </row>
    <row r="154" spans="4:4" s="139" customFormat="1">
      <c r="D154" s="191"/>
    </row>
    <row r="155" spans="4:4" s="139" customFormat="1">
      <c r="D155" s="191"/>
    </row>
    <row r="156" spans="4:4" s="139" customFormat="1">
      <c r="D156" s="191"/>
    </row>
    <row r="157" spans="4:4" s="139" customFormat="1">
      <c r="D157" s="191"/>
    </row>
    <row r="158" spans="4:4" s="139" customFormat="1">
      <c r="D158" s="191"/>
    </row>
    <row r="159" spans="4:4" s="139" customFormat="1">
      <c r="D159" s="191"/>
    </row>
    <row r="160" spans="4:4" s="139" customFormat="1">
      <c r="D160" s="191"/>
    </row>
    <row r="161" spans="4:4" s="139" customFormat="1">
      <c r="D161" s="191"/>
    </row>
    <row r="162" spans="4:4" s="139" customFormat="1">
      <c r="D162" s="191"/>
    </row>
    <row r="163" spans="4:4" s="139" customFormat="1">
      <c r="D163" s="191"/>
    </row>
    <row r="164" spans="4:4" s="139" customFormat="1">
      <c r="D164" s="191"/>
    </row>
    <row r="165" spans="4:4" s="139" customFormat="1">
      <c r="D165" s="191"/>
    </row>
    <row r="166" spans="4:4" s="139" customFormat="1">
      <c r="D166" s="191"/>
    </row>
    <row r="167" spans="4:4" s="139" customFormat="1">
      <c r="D167" s="191"/>
    </row>
    <row r="168" spans="4:4" s="139" customFormat="1">
      <c r="D168" s="191"/>
    </row>
    <row r="169" spans="4:4" s="139" customFormat="1">
      <c r="D169" s="191"/>
    </row>
    <row r="170" spans="4:4" s="139" customFormat="1">
      <c r="D170" s="191"/>
    </row>
    <row r="171" spans="4:4" s="139" customFormat="1">
      <c r="D171" s="191"/>
    </row>
    <row r="172" spans="4:4" s="139" customFormat="1">
      <c r="D172" s="191"/>
    </row>
    <row r="173" spans="4:4" s="139" customFormat="1">
      <c r="D173" s="191"/>
    </row>
    <row r="174" spans="4:4" s="139" customFormat="1">
      <c r="D174" s="191"/>
    </row>
    <row r="175" spans="4:4" s="139" customFormat="1">
      <c r="D175" s="191"/>
    </row>
    <row r="176" spans="4:4" s="139" customFormat="1">
      <c r="D176" s="191"/>
    </row>
    <row r="177" spans="4:4" s="139" customFormat="1">
      <c r="D177" s="191"/>
    </row>
    <row r="178" spans="4:4" s="139" customFormat="1">
      <c r="D178" s="191"/>
    </row>
    <row r="179" spans="4:4" s="139" customFormat="1">
      <c r="D179" s="191"/>
    </row>
    <row r="180" spans="4:4" s="139" customFormat="1">
      <c r="D180" s="191"/>
    </row>
    <row r="181" spans="4:4" s="139" customFormat="1">
      <c r="D181" s="191"/>
    </row>
    <row r="182" spans="4:4" s="139" customFormat="1">
      <c r="D182" s="191"/>
    </row>
    <row r="183" spans="4:4" s="139" customFormat="1">
      <c r="D183" s="191"/>
    </row>
    <row r="184" spans="4:4" s="139" customFormat="1">
      <c r="D184" s="191"/>
    </row>
    <row r="185" spans="4:4" s="139" customFormat="1">
      <c r="D185" s="191"/>
    </row>
    <row r="186" spans="4:4" s="139" customFormat="1">
      <c r="D186" s="191"/>
    </row>
    <row r="187" spans="4:4" s="139" customFormat="1">
      <c r="D187" s="191"/>
    </row>
    <row r="188" spans="4:4" s="139" customFormat="1">
      <c r="D188" s="191"/>
    </row>
    <row r="189" spans="4:4" s="139" customFormat="1">
      <c r="D189" s="191"/>
    </row>
    <row r="190" spans="4:4" s="139" customFormat="1">
      <c r="D190" s="191"/>
    </row>
    <row r="191" spans="4:4" s="139" customFormat="1">
      <c r="D191" s="191"/>
    </row>
    <row r="192" spans="4:4" s="139" customFormat="1">
      <c r="D192" s="191"/>
    </row>
    <row r="193" spans="4:4" s="139" customFormat="1">
      <c r="D193" s="191"/>
    </row>
    <row r="194" spans="4:4" s="139" customFormat="1">
      <c r="D194" s="191"/>
    </row>
    <row r="195" spans="4:4" s="139" customFormat="1">
      <c r="D195" s="191"/>
    </row>
    <row r="196" spans="4:4" s="139" customFormat="1">
      <c r="D196" s="191"/>
    </row>
    <row r="197" spans="4:4" s="139" customFormat="1">
      <c r="D197" s="191"/>
    </row>
    <row r="198" spans="4:4" s="139" customFormat="1">
      <c r="D198" s="191"/>
    </row>
    <row r="199" spans="4:4" s="139" customFormat="1">
      <c r="D199" s="191"/>
    </row>
    <row r="200" spans="4:4" s="139" customFormat="1">
      <c r="D200" s="191"/>
    </row>
    <row r="201" spans="4:4" s="139" customFormat="1">
      <c r="D201" s="191"/>
    </row>
    <row r="202" spans="4:4" s="139" customFormat="1">
      <c r="D202" s="191"/>
    </row>
    <row r="203" spans="4:4" s="139" customFormat="1">
      <c r="D203" s="191"/>
    </row>
    <row r="204" spans="4:4" s="139" customFormat="1">
      <c r="D204" s="191"/>
    </row>
    <row r="205" spans="4:4" s="139" customFormat="1">
      <c r="D205" s="191"/>
    </row>
    <row r="206" spans="4:4" s="139" customFormat="1">
      <c r="D206" s="191"/>
    </row>
    <row r="207" spans="4:4" s="139" customFormat="1">
      <c r="D207" s="191"/>
    </row>
    <row r="208" spans="4:4" s="139" customFormat="1">
      <c r="D208" s="191"/>
    </row>
    <row r="209" spans="4:4" s="139" customFormat="1">
      <c r="D209" s="191"/>
    </row>
    <row r="210" spans="4:4" s="139" customFormat="1">
      <c r="D210" s="191"/>
    </row>
    <row r="211" spans="4:4" s="139" customFormat="1">
      <c r="D211" s="191"/>
    </row>
    <row r="212" spans="4:4" s="139" customFormat="1">
      <c r="D212" s="191"/>
    </row>
    <row r="213" spans="4:4" s="139" customFormat="1">
      <c r="D213" s="191"/>
    </row>
    <row r="214" spans="4:4" s="139" customFormat="1">
      <c r="D214" s="191"/>
    </row>
    <row r="215" spans="4:4" s="139" customFormat="1">
      <c r="D215" s="191"/>
    </row>
    <row r="216" spans="4:4" s="139" customFormat="1">
      <c r="D216" s="191"/>
    </row>
    <row r="217" spans="4:4" s="139" customFormat="1">
      <c r="D217" s="191"/>
    </row>
    <row r="218" spans="4:4" s="139" customFormat="1">
      <c r="D218" s="191"/>
    </row>
    <row r="219" spans="4:4" s="139" customFormat="1">
      <c r="D219" s="191"/>
    </row>
    <row r="220" spans="4:4" s="139" customFormat="1">
      <c r="D220" s="191"/>
    </row>
    <row r="221" spans="4:4" s="139" customFormat="1">
      <c r="D221" s="191"/>
    </row>
    <row r="222" spans="4:4" s="139" customFormat="1">
      <c r="D222" s="191"/>
    </row>
    <row r="223" spans="4:4" s="139" customFormat="1">
      <c r="D223" s="191"/>
    </row>
    <row r="224" spans="4:4" s="139" customFormat="1">
      <c r="D224" s="191"/>
    </row>
    <row r="225" spans="4:4" s="139" customFormat="1">
      <c r="D225" s="191"/>
    </row>
    <row r="226" spans="4:4" s="139" customFormat="1">
      <c r="D226" s="191"/>
    </row>
    <row r="227" spans="4:4" s="139" customFormat="1">
      <c r="D227" s="191"/>
    </row>
    <row r="228" spans="4:4" s="139" customFormat="1">
      <c r="D228" s="191"/>
    </row>
    <row r="229" spans="4:4" s="139" customFormat="1">
      <c r="D229" s="191"/>
    </row>
    <row r="230" spans="4:4" s="139" customFormat="1">
      <c r="D230" s="191"/>
    </row>
    <row r="231" spans="4:4" s="139" customFormat="1">
      <c r="D231" s="191"/>
    </row>
    <row r="232" spans="4:4" s="139" customFormat="1">
      <c r="D232" s="191"/>
    </row>
    <row r="233" spans="4:4" s="139" customFormat="1">
      <c r="D233" s="191"/>
    </row>
    <row r="234" spans="4:4" s="139" customFormat="1">
      <c r="D234" s="191"/>
    </row>
    <row r="235" spans="4:4" s="139" customFormat="1">
      <c r="D235" s="191"/>
    </row>
    <row r="236" spans="4:4" s="139" customFormat="1">
      <c r="D236" s="191"/>
    </row>
    <row r="237" spans="4:4" s="139" customFormat="1">
      <c r="D237" s="191"/>
    </row>
    <row r="238" spans="4:4" s="139" customFormat="1">
      <c r="D238" s="191"/>
    </row>
    <row r="239" spans="4:4" s="139" customFormat="1">
      <c r="D239" s="191"/>
    </row>
    <row r="240" spans="4:4" s="139" customFormat="1">
      <c r="D240" s="191"/>
    </row>
    <row r="241" spans="4:4" s="139" customFormat="1">
      <c r="D241" s="191"/>
    </row>
    <row r="242" spans="4:4" s="139" customFormat="1">
      <c r="D242" s="191"/>
    </row>
    <row r="243" spans="4:4" s="139" customFormat="1">
      <c r="D243" s="191"/>
    </row>
    <row r="244" spans="4:4" s="139" customFormat="1">
      <c r="D244" s="191"/>
    </row>
    <row r="245" spans="4:4" s="139" customFormat="1">
      <c r="D245" s="191"/>
    </row>
    <row r="246" spans="4:4" s="139" customFormat="1">
      <c r="D246" s="191"/>
    </row>
    <row r="247" spans="4:4" s="139" customFormat="1">
      <c r="D247" s="191"/>
    </row>
    <row r="248" spans="4:4" s="139" customFormat="1">
      <c r="D248" s="191"/>
    </row>
    <row r="249" spans="4:4" s="139" customFormat="1">
      <c r="D249" s="191"/>
    </row>
    <row r="250" spans="4:4" s="139" customFormat="1">
      <c r="D250" s="191"/>
    </row>
    <row r="251" spans="4:4" s="139" customFormat="1">
      <c r="D251" s="191"/>
    </row>
    <row r="252" spans="4:4" s="139" customFormat="1">
      <c r="D252" s="191"/>
    </row>
    <row r="253" spans="4:4" s="139" customFormat="1">
      <c r="D253" s="191"/>
    </row>
    <row r="254" spans="4:4" s="139" customFormat="1">
      <c r="D254" s="191"/>
    </row>
    <row r="255" spans="4:4" s="139" customFormat="1">
      <c r="D255" s="191"/>
    </row>
    <row r="256" spans="4:4" s="139" customFormat="1">
      <c r="D256" s="191"/>
    </row>
    <row r="257" spans="4:4" s="139" customFormat="1">
      <c r="D257" s="191"/>
    </row>
    <row r="258" spans="4:4" s="139" customFormat="1">
      <c r="D258" s="191"/>
    </row>
    <row r="259" spans="4:4" s="139" customFormat="1">
      <c r="D259" s="191"/>
    </row>
    <row r="260" spans="4:4" s="139" customFormat="1">
      <c r="D260" s="191"/>
    </row>
    <row r="261" spans="4:4" s="139" customFormat="1">
      <c r="D261" s="191"/>
    </row>
    <row r="262" spans="4:4" s="139" customFormat="1">
      <c r="D262" s="191"/>
    </row>
    <row r="263" spans="4:4" s="139" customFormat="1">
      <c r="D263" s="191"/>
    </row>
    <row r="264" spans="4:4" s="139" customFormat="1">
      <c r="D264" s="191"/>
    </row>
    <row r="265" spans="4:4" s="139" customFormat="1">
      <c r="D265" s="191"/>
    </row>
    <row r="266" spans="4:4" s="139" customFormat="1">
      <c r="D266" s="191"/>
    </row>
    <row r="267" spans="4:4" s="139" customFormat="1">
      <c r="D267" s="191"/>
    </row>
    <row r="268" spans="4:4" s="139" customFormat="1">
      <c r="D268" s="191"/>
    </row>
    <row r="269" spans="4:4" s="139" customFormat="1">
      <c r="D269" s="191"/>
    </row>
    <row r="270" spans="4:4" s="139" customFormat="1">
      <c r="D270" s="191"/>
    </row>
    <row r="271" spans="4:4" s="139" customFormat="1">
      <c r="D271" s="191"/>
    </row>
    <row r="272" spans="4:4" s="139" customFormat="1">
      <c r="D272" s="191"/>
    </row>
    <row r="273" spans="4:4" s="139" customFormat="1">
      <c r="D273" s="191"/>
    </row>
    <row r="274" spans="4:4" s="139" customFormat="1">
      <c r="D274" s="191"/>
    </row>
    <row r="275" spans="4:4" s="139" customFormat="1">
      <c r="D275" s="191"/>
    </row>
    <row r="276" spans="4:4" s="139" customFormat="1">
      <c r="D276" s="191"/>
    </row>
    <row r="277" spans="4:4" s="139" customFormat="1">
      <c r="D277" s="191"/>
    </row>
    <row r="278" spans="4:4" s="139" customFormat="1">
      <c r="D278" s="191"/>
    </row>
    <row r="279" spans="4:4" s="139" customFormat="1">
      <c r="D279" s="191"/>
    </row>
    <row r="280" spans="4:4" s="139" customFormat="1">
      <c r="D280" s="191"/>
    </row>
    <row r="281" spans="4:4" s="139" customFormat="1">
      <c r="D281" s="191"/>
    </row>
    <row r="282" spans="4:4" s="139" customFormat="1">
      <c r="D282" s="191"/>
    </row>
    <row r="283" spans="4:4" s="139" customFormat="1">
      <c r="D283" s="191"/>
    </row>
    <row r="284" spans="4:4" s="139" customFormat="1">
      <c r="D284" s="191"/>
    </row>
    <row r="285" spans="4:4" s="139" customFormat="1">
      <c r="D285" s="191"/>
    </row>
    <row r="286" spans="4:4" s="139" customFormat="1">
      <c r="D286" s="191"/>
    </row>
    <row r="287" spans="4:4" s="139" customFormat="1">
      <c r="D287" s="191"/>
    </row>
    <row r="288" spans="4:4" s="139" customFormat="1">
      <c r="D288" s="191"/>
    </row>
    <row r="289" spans="4:4" s="139" customFormat="1">
      <c r="D289" s="191"/>
    </row>
    <row r="290" spans="4:4" s="139" customFormat="1">
      <c r="D290" s="191"/>
    </row>
    <row r="291" spans="4:4" s="139" customFormat="1">
      <c r="D291" s="191"/>
    </row>
    <row r="292" spans="4:4" s="139" customFormat="1">
      <c r="D292" s="191"/>
    </row>
    <row r="293" spans="4:4" s="139" customFormat="1">
      <c r="D293" s="191"/>
    </row>
    <row r="294" spans="4:4" s="139" customFormat="1">
      <c r="D294" s="191"/>
    </row>
    <row r="295" spans="4:4" s="139" customFormat="1">
      <c r="D295" s="191"/>
    </row>
    <row r="296" spans="4:4" s="139" customFormat="1">
      <c r="D296" s="191"/>
    </row>
    <row r="297" spans="4:4" s="139" customFormat="1">
      <c r="D297" s="191"/>
    </row>
    <row r="298" spans="4:4" s="139" customFormat="1">
      <c r="D298" s="191"/>
    </row>
    <row r="299" spans="4:4" s="139" customFormat="1">
      <c r="D299" s="191"/>
    </row>
    <row r="300" spans="4:4" s="139" customFormat="1">
      <c r="D300" s="191"/>
    </row>
    <row r="301" spans="4:4" s="139" customFormat="1">
      <c r="D301" s="191"/>
    </row>
    <row r="302" spans="4:4" s="139" customFormat="1">
      <c r="D302" s="191"/>
    </row>
    <row r="303" spans="4:4" s="139" customFormat="1">
      <c r="D303" s="191"/>
    </row>
    <row r="304" spans="4:4" s="139" customFormat="1">
      <c r="D304" s="191"/>
    </row>
    <row r="305" spans="4:4" s="139" customFormat="1">
      <c r="D305" s="191"/>
    </row>
    <row r="306" spans="4:4" s="139" customFormat="1">
      <c r="D306" s="191"/>
    </row>
    <row r="307" spans="4:4" s="139" customFormat="1">
      <c r="D307" s="191"/>
    </row>
    <row r="308" spans="4:4" s="139" customFormat="1">
      <c r="D308" s="191"/>
    </row>
    <row r="309" spans="4:4" s="139" customFormat="1">
      <c r="D309" s="191"/>
    </row>
    <row r="310" spans="4:4" s="139" customFormat="1">
      <c r="D310" s="191"/>
    </row>
    <row r="311" spans="4:4" s="139" customFormat="1">
      <c r="D311" s="191"/>
    </row>
    <row r="312" spans="4:4" s="139" customFormat="1">
      <c r="D312" s="191"/>
    </row>
    <row r="313" spans="4:4" s="139" customFormat="1">
      <c r="D313" s="191"/>
    </row>
    <row r="314" spans="4:4" s="139" customFormat="1">
      <c r="D314" s="191"/>
    </row>
    <row r="315" spans="4:4" s="139" customFormat="1">
      <c r="D315" s="191"/>
    </row>
    <row r="316" spans="4:4" s="139" customFormat="1">
      <c r="D316" s="191"/>
    </row>
    <row r="317" spans="4:4" s="139" customFormat="1">
      <c r="D317" s="191"/>
    </row>
    <row r="318" spans="4:4" s="139" customFormat="1">
      <c r="D318" s="191"/>
    </row>
    <row r="319" spans="4:4" s="139" customFormat="1">
      <c r="D319" s="191"/>
    </row>
    <row r="320" spans="4:4" s="139" customFormat="1">
      <c r="D320" s="191"/>
    </row>
    <row r="321" spans="4:4" s="139" customFormat="1">
      <c r="D321" s="191"/>
    </row>
    <row r="322" spans="4:4" s="139" customFormat="1">
      <c r="D322" s="191"/>
    </row>
    <row r="323" spans="4:4" s="139" customFormat="1">
      <c r="D323" s="191"/>
    </row>
    <row r="324" spans="4:4" s="139" customFormat="1">
      <c r="D324" s="191"/>
    </row>
    <row r="325" spans="4:4" s="139" customFormat="1">
      <c r="D325" s="191"/>
    </row>
    <row r="326" spans="4:4" s="139" customFormat="1">
      <c r="D326" s="191"/>
    </row>
    <row r="327" spans="4:4" s="139" customFormat="1">
      <c r="D327" s="191"/>
    </row>
    <row r="328" spans="4:4" s="139" customFormat="1">
      <c r="D328" s="191"/>
    </row>
    <row r="329" spans="4:4" s="139" customFormat="1">
      <c r="D329" s="191"/>
    </row>
    <row r="330" spans="4:4" s="139" customFormat="1">
      <c r="D330" s="191"/>
    </row>
    <row r="331" spans="4:4" s="139" customFormat="1">
      <c r="D331" s="191"/>
    </row>
    <row r="332" spans="4:4" s="139" customFormat="1">
      <c r="D332" s="191"/>
    </row>
    <row r="333" spans="4:4" s="139" customFormat="1">
      <c r="D333" s="191"/>
    </row>
    <row r="334" spans="4:4" s="139" customFormat="1">
      <c r="D334" s="191"/>
    </row>
    <row r="335" spans="4:4" s="139" customFormat="1">
      <c r="D335" s="191"/>
    </row>
    <row r="336" spans="4:4" s="139" customFormat="1">
      <c r="D336" s="191"/>
    </row>
    <row r="337" spans="4:4" s="139" customFormat="1">
      <c r="D337" s="191"/>
    </row>
    <row r="338" spans="4:4" s="139" customFormat="1">
      <c r="D338" s="191"/>
    </row>
    <row r="339" spans="4:4" s="139" customFormat="1">
      <c r="D339" s="191"/>
    </row>
    <row r="340" spans="4:4" s="139" customFormat="1">
      <c r="D340" s="191"/>
    </row>
    <row r="341" spans="4:4" s="139" customFormat="1">
      <c r="D341" s="191"/>
    </row>
    <row r="342" spans="4:4" s="139" customFormat="1">
      <c r="D342" s="191"/>
    </row>
    <row r="343" spans="4:4" s="139" customFormat="1">
      <c r="D343" s="191"/>
    </row>
    <row r="344" spans="4:4" s="139" customFormat="1">
      <c r="D344" s="191"/>
    </row>
    <row r="345" spans="4:4" s="139" customFormat="1">
      <c r="D345" s="191"/>
    </row>
    <row r="346" spans="4:4" s="139" customFormat="1">
      <c r="D346" s="191"/>
    </row>
    <row r="347" spans="4:4" s="139" customFormat="1">
      <c r="D347" s="191"/>
    </row>
    <row r="348" spans="4:4" s="139" customFormat="1">
      <c r="D348" s="191"/>
    </row>
    <row r="349" spans="4:4" s="139" customFormat="1">
      <c r="D349" s="191"/>
    </row>
    <row r="350" spans="4:4" s="139" customFormat="1">
      <c r="D350" s="191"/>
    </row>
    <row r="351" spans="4:4" s="139" customFormat="1">
      <c r="D351" s="191"/>
    </row>
    <row r="352" spans="4:4" s="139" customFormat="1">
      <c r="D352" s="191"/>
    </row>
    <row r="353" spans="4:4" s="139" customFormat="1">
      <c r="D353" s="191"/>
    </row>
    <row r="354" spans="4:4" s="139" customFormat="1">
      <c r="D354" s="191"/>
    </row>
    <row r="355" spans="4:4" s="139" customFormat="1">
      <c r="D355" s="191"/>
    </row>
    <row r="356" spans="4:4" s="139" customFormat="1">
      <c r="D356" s="191"/>
    </row>
    <row r="357" spans="4:4" s="139" customFormat="1">
      <c r="D357" s="191"/>
    </row>
    <row r="358" spans="4:4" s="139" customFormat="1">
      <c r="D358" s="191"/>
    </row>
    <row r="359" spans="4:4" s="139" customFormat="1">
      <c r="D359" s="191"/>
    </row>
    <row r="360" spans="4:4" s="139" customFormat="1">
      <c r="D360" s="191"/>
    </row>
    <row r="361" spans="4:4" s="139" customFormat="1">
      <c r="D361" s="191"/>
    </row>
    <row r="362" spans="4:4" s="139" customFormat="1">
      <c r="D362" s="191"/>
    </row>
    <row r="363" spans="4:4" s="139" customFormat="1">
      <c r="D363" s="191"/>
    </row>
    <row r="364" spans="4:4" s="139" customFormat="1">
      <c r="D364" s="191"/>
    </row>
    <row r="365" spans="4:4" s="139" customFormat="1">
      <c r="D365" s="191"/>
    </row>
    <row r="366" spans="4:4" s="139" customFormat="1">
      <c r="D366" s="191"/>
    </row>
    <row r="367" spans="4:4" s="139" customFormat="1">
      <c r="D367" s="191"/>
    </row>
    <row r="368" spans="4:4" s="139" customFormat="1">
      <c r="D368" s="191"/>
    </row>
    <row r="369" spans="4:4" s="139" customFormat="1">
      <c r="D369" s="191"/>
    </row>
    <row r="370" spans="4:4" s="139" customFormat="1">
      <c r="D370" s="191"/>
    </row>
    <row r="371" spans="4:4" s="139" customFormat="1">
      <c r="D371" s="191"/>
    </row>
    <row r="372" spans="4:4" s="139" customFormat="1">
      <c r="D372" s="191"/>
    </row>
    <row r="373" spans="4:4" s="139" customFormat="1">
      <c r="D373" s="191"/>
    </row>
    <row r="374" spans="4:4" s="139" customFormat="1">
      <c r="D374" s="191"/>
    </row>
    <row r="375" spans="4:4" s="139" customFormat="1">
      <c r="D375" s="191"/>
    </row>
    <row r="376" spans="4:4" s="139" customFormat="1">
      <c r="D376" s="191"/>
    </row>
    <row r="377" spans="4:4" s="139" customFormat="1">
      <c r="D377" s="191"/>
    </row>
    <row r="378" spans="4:4" s="139" customFormat="1">
      <c r="D378" s="191"/>
    </row>
    <row r="379" spans="4:4" s="139" customFormat="1">
      <c r="D379" s="191"/>
    </row>
    <row r="380" spans="4:4" s="139" customFormat="1">
      <c r="D380" s="191"/>
    </row>
    <row r="381" spans="4:4" s="139" customFormat="1">
      <c r="D381" s="191"/>
    </row>
    <row r="382" spans="4:4" s="139" customFormat="1">
      <c r="D382" s="191"/>
    </row>
    <row r="383" spans="4:4" s="139" customFormat="1">
      <c r="D383" s="191"/>
    </row>
    <row r="384" spans="4:4" s="139" customFormat="1">
      <c r="D384" s="191"/>
    </row>
    <row r="385" spans="4:4" s="139" customFormat="1">
      <c r="D385" s="191"/>
    </row>
    <row r="386" spans="4:4" s="139" customFormat="1">
      <c r="D386" s="191"/>
    </row>
    <row r="387" spans="4:4" s="139" customFormat="1">
      <c r="D387" s="191"/>
    </row>
    <row r="388" spans="4:4" s="139" customFormat="1">
      <c r="D388" s="191"/>
    </row>
    <row r="389" spans="4:4" s="139" customFormat="1">
      <c r="D389" s="191"/>
    </row>
    <row r="390" spans="4:4" s="139" customFormat="1">
      <c r="D390" s="191"/>
    </row>
    <row r="391" spans="4:4" s="139" customFormat="1">
      <c r="D391" s="191"/>
    </row>
    <row r="392" spans="4:4" s="139" customFormat="1">
      <c r="D392" s="191"/>
    </row>
    <row r="393" spans="4:4" s="139" customFormat="1">
      <c r="D393" s="191"/>
    </row>
    <row r="394" spans="4:4" s="139" customFormat="1">
      <c r="D394" s="191"/>
    </row>
    <row r="395" spans="4:4" s="139" customFormat="1">
      <c r="D395" s="191"/>
    </row>
    <row r="396" spans="4:4" s="139" customFormat="1">
      <c r="D396" s="191"/>
    </row>
    <row r="397" spans="4:4" s="139" customFormat="1">
      <c r="D397" s="191"/>
    </row>
    <row r="398" spans="4:4" s="139" customFormat="1">
      <c r="D398" s="191"/>
    </row>
    <row r="399" spans="4:4" s="139" customFormat="1">
      <c r="D399" s="191"/>
    </row>
    <row r="400" spans="4:4" s="139" customFormat="1">
      <c r="D400" s="191"/>
    </row>
    <row r="401" spans="4:4" s="139" customFormat="1">
      <c r="D401" s="191"/>
    </row>
    <row r="402" spans="4:4" s="139" customFormat="1">
      <c r="D402" s="191"/>
    </row>
    <row r="403" spans="4:4" s="139" customFormat="1">
      <c r="D403" s="191"/>
    </row>
    <row r="404" spans="4:4" s="139" customFormat="1">
      <c r="D404" s="191"/>
    </row>
    <row r="405" spans="4:4" s="139" customFormat="1">
      <c r="D405" s="191"/>
    </row>
    <row r="406" spans="4:4" s="139" customFormat="1">
      <c r="D406" s="191"/>
    </row>
    <row r="407" spans="4:4" s="139" customFormat="1">
      <c r="D407" s="191"/>
    </row>
    <row r="408" spans="4:4" s="139" customFormat="1">
      <c r="D408" s="191"/>
    </row>
    <row r="409" spans="4:4" s="139" customFormat="1">
      <c r="D409" s="191"/>
    </row>
    <row r="410" spans="4:4" s="139" customFormat="1">
      <c r="D410" s="191"/>
    </row>
    <row r="411" spans="4:4" s="139" customFormat="1">
      <c r="D411" s="191"/>
    </row>
    <row r="412" spans="4:4" s="139" customFormat="1">
      <c r="D412" s="191"/>
    </row>
    <row r="413" spans="4:4" s="139" customFormat="1">
      <c r="D413" s="191"/>
    </row>
    <row r="414" spans="4:4" s="139" customFormat="1">
      <c r="D414" s="191"/>
    </row>
    <row r="415" spans="4:4" s="139" customFormat="1">
      <c r="D415" s="191"/>
    </row>
    <row r="416" spans="4:4" s="139" customFormat="1">
      <c r="D416" s="191"/>
    </row>
    <row r="417" spans="4:4" s="139" customFormat="1">
      <c r="D417" s="191"/>
    </row>
    <row r="418" spans="4:4" s="139" customFormat="1">
      <c r="D418" s="191"/>
    </row>
    <row r="419" spans="4:4" s="139" customFormat="1">
      <c r="D419" s="191"/>
    </row>
    <row r="420" spans="4:4" s="139" customFormat="1">
      <c r="D420" s="191"/>
    </row>
    <row r="421" spans="4:4" s="139" customFormat="1">
      <c r="D421" s="191"/>
    </row>
    <row r="422" spans="4:4" s="139" customFormat="1">
      <c r="D422" s="191"/>
    </row>
    <row r="423" spans="4:4" s="139" customFormat="1">
      <c r="D423" s="191"/>
    </row>
    <row r="424" spans="4:4" s="139" customFormat="1">
      <c r="D424" s="191"/>
    </row>
    <row r="425" spans="4:4" s="139" customFormat="1">
      <c r="D425" s="191"/>
    </row>
    <row r="426" spans="4:4" s="139" customFormat="1">
      <c r="D426" s="191"/>
    </row>
    <row r="427" spans="4:4" s="139" customFormat="1">
      <c r="D427" s="191"/>
    </row>
    <row r="428" spans="4:4" s="139" customFormat="1">
      <c r="D428" s="191"/>
    </row>
    <row r="429" spans="4:4" s="139" customFormat="1">
      <c r="D429" s="191"/>
    </row>
    <row r="430" spans="4:4" s="139" customFormat="1">
      <c r="D430" s="191"/>
    </row>
    <row r="431" spans="4:4" s="139" customFormat="1">
      <c r="D431" s="191"/>
    </row>
    <row r="432" spans="4:4" s="139" customFormat="1">
      <c r="D432" s="191"/>
    </row>
    <row r="433" spans="3:27" s="139" customFormat="1">
      <c r="C433" s="1"/>
      <c r="D433" s="86"/>
      <c r="E433" s="1"/>
      <c r="F433" s="1"/>
      <c r="G433" s="1"/>
      <c r="H433" s="1"/>
      <c r="I433" s="1"/>
      <c r="J433" s="1"/>
      <c r="K433" s="1"/>
      <c r="L433" s="1"/>
      <c r="M433" s="110"/>
      <c r="N433" s="1"/>
      <c r="O433" s="1"/>
      <c r="P433" s="1"/>
      <c r="Q433" s="1"/>
      <c r="R433" s="1"/>
      <c r="S433" s="1"/>
      <c r="T433" s="110"/>
      <c r="U433" s="1"/>
      <c r="V433" s="1"/>
      <c r="W433" s="1"/>
      <c r="X433" s="1"/>
      <c r="Y433" s="1"/>
      <c r="Z433" s="1"/>
      <c r="AA433" s="110"/>
    </row>
    <row r="434" spans="3:27" s="139" customFormat="1">
      <c r="C434" s="1"/>
      <c r="D434" s="86"/>
      <c r="E434" s="1"/>
      <c r="F434" s="1"/>
      <c r="G434" s="1"/>
      <c r="H434" s="1"/>
      <c r="I434" s="1"/>
      <c r="J434" s="1"/>
      <c r="K434" s="1"/>
      <c r="L434" s="1"/>
      <c r="M434" s="110"/>
      <c r="N434" s="1"/>
      <c r="O434" s="1"/>
      <c r="P434" s="1"/>
      <c r="Q434" s="1"/>
      <c r="R434" s="1"/>
      <c r="S434" s="1"/>
      <c r="T434" s="110"/>
      <c r="U434" s="1"/>
      <c r="V434" s="1"/>
      <c r="W434" s="1"/>
      <c r="X434" s="1"/>
      <c r="Y434" s="1"/>
      <c r="Z434" s="1"/>
      <c r="AA434" s="110"/>
    </row>
    <row r="435" spans="3:27" s="139" customFormat="1">
      <c r="C435" s="1"/>
      <c r="D435" s="86"/>
      <c r="E435" s="1"/>
      <c r="F435" s="1"/>
      <c r="G435" s="1"/>
      <c r="H435" s="1"/>
      <c r="I435" s="1"/>
      <c r="J435" s="1"/>
      <c r="K435" s="1"/>
      <c r="L435" s="1"/>
      <c r="M435" s="110"/>
      <c r="N435" s="1"/>
      <c r="O435" s="1"/>
      <c r="P435" s="1"/>
      <c r="Q435" s="1"/>
      <c r="R435" s="1"/>
      <c r="S435" s="1"/>
      <c r="T435" s="110"/>
      <c r="U435" s="1"/>
      <c r="V435" s="1"/>
      <c r="W435" s="1"/>
      <c r="X435" s="1"/>
      <c r="Y435" s="1"/>
      <c r="Z435" s="1"/>
      <c r="AA435" s="110"/>
    </row>
    <row r="436" spans="3:27" s="139" customFormat="1">
      <c r="C436" s="1"/>
      <c r="D436" s="86"/>
      <c r="E436" s="1"/>
      <c r="F436" s="1"/>
      <c r="G436" s="1"/>
      <c r="H436" s="1"/>
      <c r="I436" s="1"/>
      <c r="J436" s="1"/>
      <c r="K436" s="1"/>
      <c r="L436" s="1"/>
      <c r="M436" s="110"/>
      <c r="N436" s="1"/>
      <c r="O436" s="1"/>
      <c r="P436" s="1"/>
      <c r="Q436" s="1"/>
      <c r="R436" s="1"/>
      <c r="S436" s="1"/>
      <c r="T436" s="110"/>
      <c r="U436" s="1"/>
      <c r="V436" s="1"/>
      <c r="W436" s="1"/>
      <c r="X436" s="1"/>
      <c r="Y436" s="1"/>
      <c r="Z436" s="1"/>
      <c r="AA436" s="110"/>
    </row>
  </sheetData>
  <mergeCells count="76">
    <mergeCell ref="Y36:AA36"/>
    <mergeCell ref="D35:G35"/>
    <mergeCell ref="H35:J35"/>
    <mergeCell ref="K35:M35"/>
    <mergeCell ref="O35:U35"/>
    <mergeCell ref="V35:X35"/>
    <mergeCell ref="Y35:AA35"/>
    <mergeCell ref="D36:G36"/>
    <mergeCell ref="H36:J36"/>
    <mergeCell ref="K36:M36"/>
    <mergeCell ref="O36:U36"/>
    <mergeCell ref="V36:X36"/>
    <mergeCell ref="Y34:AA34"/>
    <mergeCell ref="D33:G33"/>
    <mergeCell ref="H33:J33"/>
    <mergeCell ref="K33:M33"/>
    <mergeCell ref="O33:U33"/>
    <mergeCell ref="V33:X33"/>
    <mergeCell ref="Y33:AA33"/>
    <mergeCell ref="D34:G34"/>
    <mergeCell ref="H34:J34"/>
    <mergeCell ref="K34:M34"/>
    <mergeCell ref="O34:U34"/>
    <mergeCell ref="V34:X34"/>
    <mergeCell ref="Y32:AA32"/>
    <mergeCell ref="C23:C24"/>
    <mergeCell ref="D23:D24"/>
    <mergeCell ref="E23:E24"/>
    <mergeCell ref="F23:F24"/>
    <mergeCell ref="C25:C26"/>
    <mergeCell ref="D25:D26"/>
    <mergeCell ref="E25:E26"/>
    <mergeCell ref="F25:F26"/>
    <mergeCell ref="C27:F28"/>
    <mergeCell ref="C29:F30"/>
    <mergeCell ref="H32:J32"/>
    <mergeCell ref="K32:M32"/>
    <mergeCell ref="V32:X32"/>
    <mergeCell ref="C19:C20"/>
    <mergeCell ref="D19:D20"/>
    <mergeCell ref="E19:E20"/>
    <mergeCell ref="F19:F20"/>
    <mergeCell ref="C21:C22"/>
    <mergeCell ref="D21:D22"/>
    <mergeCell ref="E21:E22"/>
    <mergeCell ref="F21:F22"/>
    <mergeCell ref="C15:C16"/>
    <mergeCell ref="D15:D16"/>
    <mergeCell ref="E15:E16"/>
    <mergeCell ref="F15:F16"/>
    <mergeCell ref="H15:J16"/>
    <mergeCell ref="C17:C18"/>
    <mergeCell ref="D17:D18"/>
    <mergeCell ref="E17:E18"/>
    <mergeCell ref="F17:F18"/>
    <mergeCell ref="H17:J18"/>
    <mergeCell ref="C11:C12"/>
    <mergeCell ref="D11:D12"/>
    <mergeCell ref="F11:F12"/>
    <mergeCell ref="C13:C14"/>
    <mergeCell ref="D13:D14"/>
    <mergeCell ref="E13:E14"/>
    <mergeCell ref="F13:F14"/>
    <mergeCell ref="C7:C8"/>
    <mergeCell ref="D7:D8"/>
    <mergeCell ref="E7:E8"/>
    <mergeCell ref="F7:F8"/>
    <mergeCell ref="C9:C10"/>
    <mergeCell ref="D9:D10"/>
    <mergeCell ref="F9:F10"/>
    <mergeCell ref="C2:N2"/>
    <mergeCell ref="K3:R3"/>
    <mergeCell ref="C5:C6"/>
    <mergeCell ref="D5:D6"/>
    <mergeCell ref="E5:E6"/>
    <mergeCell ref="F5:F6"/>
  </mergeCells>
  <phoneticPr fontId="10"/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FA3E-C9F2-4A87-A5E5-4FE22D506A3D}">
  <sheetPr codeName="Sheet9"/>
  <dimension ref="B1:AB428"/>
  <sheetViews>
    <sheetView showGridLines="0" topLeftCell="A3" zoomScale="90" zoomScaleNormal="90" workbookViewId="0">
      <selection activeCell="R14" sqref="R14"/>
    </sheetView>
  </sheetViews>
  <sheetFormatPr defaultColWidth="8.85546875" defaultRowHeight="19.5"/>
  <cols>
    <col min="1" max="2" width="8.85546875" style="1"/>
    <col min="3" max="3" width="4.5703125" style="1" bestFit="1" customWidth="1"/>
    <col min="4" max="4" width="13.42578125" style="1" bestFit="1" customWidth="1"/>
    <col min="5" max="5" width="17.140625" style="1" customWidth="1"/>
    <col min="6" max="6" width="9.5703125" style="1" customWidth="1"/>
    <col min="7" max="7" width="7.140625" style="1" customWidth="1"/>
    <col min="8" max="9" width="5.42578125" style="1" hidden="1" customWidth="1"/>
    <col min="10" max="12" width="6.28515625" style="1" hidden="1" customWidth="1"/>
    <col min="13" max="13" width="11.42578125" style="110" hidden="1" customWidth="1"/>
    <col min="14" max="14" width="9.140625" style="1" customWidth="1"/>
    <col min="15" max="18" width="8.85546875" style="1" customWidth="1"/>
    <col min="19" max="19" width="11.28515625" style="1" customWidth="1"/>
    <col min="20" max="20" width="11.42578125" style="110" hidden="1" customWidth="1"/>
    <col min="21" max="21" width="8.42578125" style="1" bestFit="1" customWidth="1"/>
    <col min="22" max="22" width="9.85546875" style="1" customWidth="1"/>
    <col min="23" max="23" width="9.28515625" style="1" customWidth="1"/>
    <col min="24" max="24" width="9.42578125" style="1" customWidth="1"/>
    <col min="25" max="25" width="8.5703125" style="1" customWidth="1"/>
    <col min="26" max="26" width="8.7109375" style="1" customWidth="1"/>
    <col min="27" max="27" width="11.42578125" style="110" customWidth="1"/>
    <col min="28" max="32" width="8.85546875" style="1"/>
    <col min="33" max="33" width="10" style="1" bestFit="1" customWidth="1"/>
    <col min="34" max="16384" width="8.85546875" style="1"/>
  </cols>
  <sheetData>
    <row r="1" spans="2:28"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2:28" ht="38.25">
      <c r="C2" s="551" t="s">
        <v>71</v>
      </c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99"/>
      <c r="P2" s="99"/>
      <c r="Q2" s="99"/>
      <c r="R2" s="99"/>
      <c r="S2" s="140"/>
      <c r="T2" s="139"/>
      <c r="U2" s="140"/>
      <c r="V2" s="140"/>
      <c r="W2" s="140"/>
      <c r="X2" s="140"/>
      <c r="Y2" s="140"/>
      <c r="Z2" s="139"/>
      <c r="AA2" s="139"/>
      <c r="AB2" s="139"/>
    </row>
    <row r="3" spans="2:28" ht="20.25" thickBot="1">
      <c r="K3" s="637" t="s">
        <v>125</v>
      </c>
      <c r="L3" s="637"/>
      <c r="M3" s="637"/>
      <c r="N3" s="637"/>
      <c r="O3" s="637"/>
      <c r="P3" s="637"/>
      <c r="Q3" s="637"/>
      <c r="R3" s="637"/>
      <c r="S3" s="139"/>
      <c r="T3" s="139" t="s">
        <v>105</v>
      </c>
      <c r="U3" s="139"/>
      <c r="V3" s="139"/>
      <c r="W3" s="139"/>
      <c r="X3" s="139"/>
      <c r="Y3" s="139"/>
      <c r="Z3" s="139"/>
      <c r="AA3" s="139"/>
      <c r="AB3" s="139"/>
    </row>
    <row r="4" spans="2:28" ht="38.25" customHeight="1" thickBot="1">
      <c r="C4" s="45" t="s">
        <v>73</v>
      </c>
      <c r="D4" s="46" t="s">
        <v>7</v>
      </c>
      <c r="E4" s="46" t="s">
        <v>106</v>
      </c>
      <c r="F4" s="134" t="s">
        <v>107</v>
      </c>
      <c r="G4" s="46"/>
      <c r="H4" s="46" t="s">
        <v>8</v>
      </c>
      <c r="I4" s="46" t="s">
        <v>9</v>
      </c>
      <c r="J4" s="46" t="s">
        <v>10</v>
      </c>
      <c r="K4" s="46" t="s">
        <v>11</v>
      </c>
      <c r="L4" s="46" t="s">
        <v>74</v>
      </c>
      <c r="M4" s="105" t="s">
        <v>13</v>
      </c>
      <c r="N4" s="46" t="s">
        <v>14</v>
      </c>
      <c r="O4" s="46" t="s">
        <v>75</v>
      </c>
      <c r="P4" s="46" t="s">
        <v>76</v>
      </c>
      <c r="Q4" s="46" t="s">
        <v>77</v>
      </c>
      <c r="R4" s="46" t="s">
        <v>78</v>
      </c>
      <c r="S4" s="46" t="s">
        <v>79</v>
      </c>
      <c r="T4" s="148" t="s">
        <v>13</v>
      </c>
      <c r="U4" s="145" t="s">
        <v>80</v>
      </c>
      <c r="V4" s="46" t="s">
        <v>81</v>
      </c>
      <c r="W4" s="46" t="s">
        <v>82</v>
      </c>
      <c r="X4" s="46" t="s">
        <v>83</v>
      </c>
      <c r="Y4" s="46" t="s">
        <v>84</v>
      </c>
      <c r="Z4" s="163" t="s">
        <v>74</v>
      </c>
      <c r="AA4" s="148" t="s">
        <v>13</v>
      </c>
    </row>
    <row r="5" spans="2:28" ht="24.75" customHeight="1">
      <c r="B5" s="2"/>
      <c r="C5" s="616">
        <v>1</v>
      </c>
      <c r="D5" s="617" t="s">
        <v>22</v>
      </c>
      <c r="E5" s="635" t="s">
        <v>85</v>
      </c>
      <c r="F5" s="617" t="s">
        <v>108</v>
      </c>
      <c r="G5" s="74" t="s">
        <v>86</v>
      </c>
      <c r="H5" s="74">
        <v>100</v>
      </c>
      <c r="I5" s="74">
        <v>100</v>
      </c>
      <c r="J5" s="74">
        <v>200</v>
      </c>
      <c r="K5" s="74">
        <v>200</v>
      </c>
      <c r="L5" s="74">
        <v>300</v>
      </c>
      <c r="M5" s="106">
        <f>SUM(H5:L5)</f>
        <v>900</v>
      </c>
      <c r="N5" s="74">
        <v>0</v>
      </c>
      <c r="O5" s="74">
        <v>0</v>
      </c>
      <c r="P5" s="74">
        <v>200</v>
      </c>
      <c r="Q5" s="74">
        <v>200</v>
      </c>
      <c r="R5" s="74">
        <v>300</v>
      </c>
      <c r="S5" s="74">
        <v>375</v>
      </c>
      <c r="T5" s="149">
        <f t="shared" ref="T5:T22" si="0">SUM(N5:S5)</f>
        <v>1075</v>
      </c>
      <c r="U5" s="210">
        <v>0</v>
      </c>
      <c r="V5" s="211">
        <v>100</v>
      </c>
      <c r="W5" s="211">
        <v>100</v>
      </c>
      <c r="X5" s="211">
        <v>200</v>
      </c>
      <c r="Y5" s="211">
        <v>200</v>
      </c>
      <c r="Z5" s="212">
        <v>200</v>
      </c>
      <c r="AA5" s="149">
        <f t="shared" ref="AA5:AA24" si="1">SUM(T5:Z5)</f>
        <v>1875</v>
      </c>
    </row>
    <row r="6" spans="2:28">
      <c r="B6" s="2"/>
      <c r="C6" s="597"/>
      <c r="D6" s="605"/>
      <c r="E6" s="636"/>
      <c r="F6" s="605"/>
      <c r="G6" s="166" t="s">
        <v>87</v>
      </c>
      <c r="H6" s="43">
        <v>104</v>
      </c>
      <c r="I6" s="43"/>
      <c r="J6" s="43"/>
      <c r="K6" s="43"/>
      <c r="L6" s="43"/>
      <c r="M6" s="107"/>
      <c r="N6" s="173">
        <v>0</v>
      </c>
      <c r="O6" s="173">
        <v>0</v>
      </c>
      <c r="P6" s="173">
        <v>0</v>
      </c>
      <c r="Q6" s="173">
        <v>0</v>
      </c>
      <c r="R6" s="43">
        <v>0</v>
      </c>
      <c r="S6" s="43">
        <v>0</v>
      </c>
      <c r="T6" s="150">
        <f t="shared" si="0"/>
        <v>0</v>
      </c>
      <c r="U6" s="146"/>
      <c r="V6" s="43"/>
      <c r="W6" s="43"/>
      <c r="X6" s="43"/>
      <c r="Y6" s="43"/>
      <c r="Z6" s="44"/>
      <c r="AA6" s="150">
        <f t="shared" si="1"/>
        <v>0</v>
      </c>
    </row>
    <row r="7" spans="2:28" ht="25.5" customHeight="1">
      <c r="B7" s="2"/>
      <c r="C7" s="596">
        <v>2</v>
      </c>
      <c r="D7" s="604" t="s">
        <v>109</v>
      </c>
      <c r="E7" s="626" t="s">
        <v>96</v>
      </c>
      <c r="F7" s="540" t="s">
        <v>110</v>
      </c>
      <c r="G7" s="43" t="s">
        <v>86</v>
      </c>
      <c r="H7" s="35">
        <v>100</v>
      </c>
      <c r="I7" s="35">
        <v>150</v>
      </c>
      <c r="J7" s="35">
        <v>150</v>
      </c>
      <c r="K7" s="35">
        <v>150</v>
      </c>
      <c r="L7" s="35">
        <v>200</v>
      </c>
      <c r="M7" s="108">
        <f>SUM(H7:L7)</f>
        <v>750</v>
      </c>
      <c r="N7" s="35">
        <v>100</v>
      </c>
      <c r="O7" s="35">
        <v>50</v>
      </c>
      <c r="P7" s="35">
        <v>150</v>
      </c>
      <c r="Q7" s="35">
        <v>150</v>
      </c>
      <c r="R7" s="35">
        <v>150</v>
      </c>
      <c r="S7" s="35">
        <v>200</v>
      </c>
      <c r="T7" s="151">
        <f t="shared" si="0"/>
        <v>800</v>
      </c>
      <c r="U7" s="213">
        <v>0</v>
      </c>
      <c r="V7" s="214">
        <v>0</v>
      </c>
      <c r="W7" s="214">
        <v>0</v>
      </c>
      <c r="X7" s="214">
        <v>0</v>
      </c>
      <c r="Y7" s="214">
        <v>0</v>
      </c>
      <c r="Z7" s="215">
        <v>0</v>
      </c>
      <c r="AA7" s="151">
        <f t="shared" si="1"/>
        <v>800</v>
      </c>
    </row>
    <row r="8" spans="2:28" ht="22.5" customHeight="1">
      <c r="B8" s="2"/>
      <c r="C8" s="597"/>
      <c r="D8" s="605"/>
      <c r="E8" s="626"/>
      <c r="F8" s="540"/>
      <c r="G8" s="167" t="s">
        <v>87</v>
      </c>
      <c r="H8" s="62">
        <v>100</v>
      </c>
      <c r="I8" s="68">
        <v>150</v>
      </c>
      <c r="J8" s="98"/>
      <c r="K8" s="72">
        <v>125</v>
      </c>
      <c r="L8" s="62"/>
      <c r="M8" s="109"/>
      <c r="N8" s="68">
        <v>0</v>
      </c>
      <c r="O8" s="68">
        <v>0</v>
      </c>
      <c r="P8" s="68">
        <v>0</v>
      </c>
      <c r="Q8" s="173">
        <v>0</v>
      </c>
      <c r="R8" s="62">
        <v>0</v>
      </c>
      <c r="S8" s="62">
        <v>0</v>
      </c>
      <c r="T8" s="150">
        <f t="shared" si="0"/>
        <v>0</v>
      </c>
      <c r="U8" s="147"/>
      <c r="V8" s="62"/>
      <c r="W8" s="62"/>
      <c r="X8" s="62"/>
      <c r="Y8" s="62"/>
      <c r="Z8" s="138"/>
      <c r="AA8" s="150">
        <f t="shared" si="1"/>
        <v>0</v>
      </c>
    </row>
    <row r="9" spans="2:28" ht="23.25" customHeight="1">
      <c r="B9" s="2"/>
      <c r="C9" s="596">
        <v>3</v>
      </c>
      <c r="D9" s="618" t="s">
        <v>111</v>
      </c>
      <c r="E9" s="137" t="s">
        <v>89</v>
      </c>
      <c r="F9" s="604" t="s">
        <v>112</v>
      </c>
      <c r="G9" s="35" t="s">
        <v>86</v>
      </c>
      <c r="H9" s="35">
        <v>0</v>
      </c>
      <c r="I9" s="35">
        <v>50</v>
      </c>
      <c r="J9" s="35">
        <v>50</v>
      </c>
      <c r="K9" s="35">
        <v>100</v>
      </c>
      <c r="L9" s="35">
        <v>100</v>
      </c>
      <c r="M9" s="108">
        <f t="shared" ref="M9:M13" si="2">SUM(H9:L9)</f>
        <v>300</v>
      </c>
      <c r="N9" s="35">
        <v>50</v>
      </c>
      <c r="O9" s="35">
        <v>0</v>
      </c>
      <c r="P9" s="35">
        <v>320</v>
      </c>
      <c r="Q9" s="35">
        <v>320</v>
      </c>
      <c r="R9" s="35">
        <v>320</v>
      </c>
      <c r="S9" s="35">
        <v>320</v>
      </c>
      <c r="T9" s="151">
        <f t="shared" si="0"/>
        <v>1330</v>
      </c>
      <c r="U9" s="213">
        <v>320</v>
      </c>
      <c r="V9" s="214">
        <v>320</v>
      </c>
      <c r="W9" s="214">
        <v>320</v>
      </c>
      <c r="X9" s="214">
        <v>320</v>
      </c>
      <c r="Y9" s="214">
        <v>320</v>
      </c>
      <c r="Z9" s="215">
        <v>320</v>
      </c>
      <c r="AA9" s="151">
        <f t="shared" si="1"/>
        <v>3250</v>
      </c>
    </row>
    <row r="10" spans="2:28" ht="23.25" customHeight="1">
      <c r="B10" s="2"/>
      <c r="C10" s="597"/>
      <c r="D10" s="605"/>
      <c r="E10" s="135" t="s">
        <v>90</v>
      </c>
      <c r="F10" s="540"/>
      <c r="G10" s="166" t="s">
        <v>87</v>
      </c>
      <c r="H10" s="35"/>
      <c r="I10" s="35"/>
      <c r="J10" s="35"/>
      <c r="K10" s="35"/>
      <c r="L10" s="35"/>
      <c r="M10" s="108"/>
      <c r="N10" s="133">
        <v>85.5</v>
      </c>
      <c r="O10" s="72">
        <v>0</v>
      </c>
      <c r="P10" s="133">
        <v>240</v>
      </c>
      <c r="Q10" s="72">
        <v>320</v>
      </c>
      <c r="R10" s="72">
        <v>312</v>
      </c>
      <c r="S10" s="72">
        <v>288</v>
      </c>
      <c r="T10" s="150">
        <f t="shared" si="0"/>
        <v>1245.5</v>
      </c>
      <c r="U10" s="213"/>
      <c r="V10" s="214"/>
      <c r="W10" s="214"/>
      <c r="X10" s="214"/>
      <c r="Y10" s="214"/>
      <c r="Z10" s="215"/>
      <c r="AA10" s="150">
        <f t="shared" si="1"/>
        <v>1245.5</v>
      </c>
    </row>
    <row r="11" spans="2:28" ht="23.25" customHeight="1">
      <c r="B11" s="2"/>
      <c r="C11" s="596">
        <v>4</v>
      </c>
      <c r="D11" s="624" t="s">
        <v>113</v>
      </c>
      <c r="E11" s="137" t="s">
        <v>89</v>
      </c>
      <c r="F11" s="540"/>
      <c r="G11" s="35" t="s">
        <v>86</v>
      </c>
      <c r="H11" s="35">
        <v>0</v>
      </c>
      <c r="I11" s="35">
        <v>50</v>
      </c>
      <c r="J11" s="35">
        <v>50</v>
      </c>
      <c r="K11" s="35">
        <v>100</v>
      </c>
      <c r="L11" s="35">
        <v>100</v>
      </c>
      <c r="M11" s="108">
        <f t="shared" ref="M11" si="3">SUM(H11:L11)</f>
        <v>300</v>
      </c>
      <c r="N11" s="175"/>
      <c r="O11" s="175"/>
      <c r="P11" s="175"/>
      <c r="Q11" s="175"/>
      <c r="R11" s="175"/>
      <c r="S11" s="175"/>
      <c r="T11" s="151">
        <f t="shared" si="0"/>
        <v>0</v>
      </c>
      <c r="U11" s="213">
        <v>0</v>
      </c>
      <c r="V11" s="214">
        <v>100</v>
      </c>
      <c r="W11" s="214">
        <v>100</v>
      </c>
      <c r="X11" s="214">
        <v>100</v>
      </c>
      <c r="Y11" s="214">
        <v>100</v>
      </c>
      <c r="Z11" s="215">
        <v>100</v>
      </c>
      <c r="AA11" s="151">
        <f t="shared" si="1"/>
        <v>500</v>
      </c>
    </row>
    <row r="12" spans="2:28" ht="23.25" customHeight="1">
      <c r="B12" s="2"/>
      <c r="C12" s="597"/>
      <c r="D12" s="656"/>
      <c r="E12" s="135" t="s">
        <v>90</v>
      </c>
      <c r="F12" s="540"/>
      <c r="G12" s="166" t="s">
        <v>87</v>
      </c>
      <c r="H12" s="35"/>
      <c r="I12" s="35"/>
      <c r="J12" s="35"/>
      <c r="K12" s="35"/>
      <c r="L12" s="35"/>
      <c r="M12" s="108"/>
      <c r="N12" s="176"/>
      <c r="O12" s="176"/>
      <c r="P12" s="176"/>
      <c r="Q12" s="177"/>
      <c r="R12" s="178"/>
      <c r="S12" s="175"/>
      <c r="T12" s="150">
        <f t="shared" si="0"/>
        <v>0</v>
      </c>
      <c r="U12" s="213"/>
      <c r="V12" s="214"/>
      <c r="W12" s="214"/>
      <c r="X12" s="214"/>
      <c r="Y12" s="214"/>
      <c r="Z12" s="215"/>
      <c r="AA12" s="150">
        <f t="shared" si="1"/>
        <v>0</v>
      </c>
    </row>
    <row r="13" spans="2:28" ht="24.75" customHeight="1">
      <c r="B13" s="2"/>
      <c r="C13" s="596">
        <v>5</v>
      </c>
      <c r="D13" s="604" t="s">
        <v>25</v>
      </c>
      <c r="E13" s="627" t="s">
        <v>114</v>
      </c>
      <c r="F13" s="540"/>
      <c r="G13" s="43" t="s">
        <v>86</v>
      </c>
      <c r="H13" s="35">
        <v>0</v>
      </c>
      <c r="I13" s="35">
        <v>150</v>
      </c>
      <c r="J13" s="35">
        <v>150</v>
      </c>
      <c r="K13" s="35">
        <v>0</v>
      </c>
      <c r="L13" s="35">
        <v>0</v>
      </c>
      <c r="M13" s="108">
        <f t="shared" si="2"/>
        <v>300</v>
      </c>
      <c r="N13" s="35">
        <v>200</v>
      </c>
      <c r="O13" s="35">
        <v>275</v>
      </c>
      <c r="P13" s="35">
        <v>300</v>
      </c>
      <c r="Q13" s="35">
        <v>300</v>
      </c>
      <c r="R13" s="35">
        <v>300</v>
      </c>
      <c r="S13" s="35">
        <v>300</v>
      </c>
      <c r="T13" s="151">
        <f t="shared" si="0"/>
        <v>1675</v>
      </c>
      <c r="U13" s="213">
        <v>200</v>
      </c>
      <c r="V13" s="214">
        <v>200</v>
      </c>
      <c r="W13" s="214">
        <v>200</v>
      </c>
      <c r="X13" s="214">
        <v>200</v>
      </c>
      <c r="Y13" s="214">
        <v>200</v>
      </c>
      <c r="Z13" s="215">
        <v>200</v>
      </c>
      <c r="AA13" s="151">
        <f t="shared" si="1"/>
        <v>2875</v>
      </c>
    </row>
    <row r="14" spans="2:28" ht="21" customHeight="1">
      <c r="B14" s="2"/>
      <c r="C14" s="597"/>
      <c r="D14" s="605"/>
      <c r="E14" s="628"/>
      <c r="F14" s="540"/>
      <c r="G14" s="166" t="s">
        <v>99</v>
      </c>
      <c r="H14" s="72">
        <v>3</v>
      </c>
      <c r="I14" s="69">
        <v>74</v>
      </c>
      <c r="J14" s="69">
        <v>109</v>
      </c>
      <c r="K14" s="72">
        <v>150</v>
      </c>
      <c r="L14" s="72">
        <v>446</v>
      </c>
      <c r="M14" s="108"/>
      <c r="N14" s="133">
        <v>447</v>
      </c>
      <c r="O14" s="133">
        <v>277</v>
      </c>
      <c r="P14" s="133">
        <v>356</v>
      </c>
      <c r="Q14" s="72">
        <v>230</v>
      </c>
      <c r="R14" s="72">
        <v>289</v>
      </c>
      <c r="S14" s="72">
        <v>325</v>
      </c>
      <c r="T14" s="150">
        <f t="shared" si="0"/>
        <v>1924</v>
      </c>
      <c r="U14" s="213"/>
      <c r="V14" s="214"/>
      <c r="W14" s="214"/>
      <c r="X14" s="214"/>
      <c r="Y14" s="214"/>
      <c r="Z14" s="215"/>
      <c r="AA14" s="150">
        <f t="shared" si="1"/>
        <v>1924</v>
      </c>
    </row>
    <row r="15" spans="2:28" ht="26.25" customHeight="1">
      <c r="B15" s="2"/>
      <c r="C15" s="596">
        <v>6</v>
      </c>
      <c r="D15" s="604" t="s">
        <v>68</v>
      </c>
      <c r="E15" s="626" t="s">
        <v>115</v>
      </c>
      <c r="F15" s="540"/>
      <c r="G15" s="35" t="s">
        <v>86</v>
      </c>
      <c r="H15" s="606" t="s">
        <v>98</v>
      </c>
      <c r="I15" s="607"/>
      <c r="J15" s="608"/>
      <c r="K15" s="35"/>
      <c r="L15" s="35"/>
      <c r="M15" s="108"/>
      <c r="N15" s="35">
        <v>150</v>
      </c>
      <c r="O15" s="35">
        <v>50</v>
      </c>
      <c r="P15" s="35">
        <v>150</v>
      </c>
      <c r="Q15" s="35">
        <v>150</v>
      </c>
      <c r="R15" s="35">
        <v>200</v>
      </c>
      <c r="S15" s="35">
        <v>200</v>
      </c>
      <c r="T15" s="151">
        <f t="shared" si="0"/>
        <v>900</v>
      </c>
      <c r="U15" s="213">
        <v>50</v>
      </c>
      <c r="V15" s="214">
        <v>50</v>
      </c>
      <c r="W15" s="214">
        <v>50</v>
      </c>
      <c r="X15" s="214">
        <v>50</v>
      </c>
      <c r="Y15" s="214">
        <v>50</v>
      </c>
      <c r="Z15" s="215">
        <v>50</v>
      </c>
      <c r="AA15" s="151">
        <f>SUM(T15:Z15)</f>
        <v>1200</v>
      </c>
    </row>
    <row r="16" spans="2:28">
      <c r="B16" s="2"/>
      <c r="C16" s="597"/>
      <c r="D16" s="540"/>
      <c r="E16" s="626"/>
      <c r="F16" s="540"/>
      <c r="G16" s="168" t="s">
        <v>99</v>
      </c>
      <c r="H16" s="609"/>
      <c r="I16" s="610"/>
      <c r="J16" s="611"/>
      <c r="K16" s="35"/>
      <c r="L16" s="35"/>
      <c r="M16" s="108"/>
      <c r="N16" s="72">
        <v>0</v>
      </c>
      <c r="O16" s="72">
        <v>0</v>
      </c>
      <c r="P16" s="72">
        <v>0</v>
      </c>
      <c r="Q16" s="173">
        <v>0</v>
      </c>
      <c r="R16" s="72">
        <v>0</v>
      </c>
      <c r="S16" s="72">
        <v>50</v>
      </c>
      <c r="T16" s="150">
        <f t="shared" si="0"/>
        <v>50</v>
      </c>
      <c r="U16" s="141"/>
      <c r="V16" s="35"/>
      <c r="W16" s="35"/>
      <c r="X16" s="35"/>
      <c r="Y16" s="35"/>
      <c r="Z16" s="39"/>
      <c r="AA16" s="165">
        <f t="shared" si="1"/>
        <v>50</v>
      </c>
    </row>
    <row r="17" spans="2:27" ht="24" customHeight="1">
      <c r="B17" s="2"/>
      <c r="C17" s="596">
        <v>7</v>
      </c>
      <c r="D17" s="598" t="s">
        <v>69</v>
      </c>
      <c r="E17" s="655" t="s">
        <v>116</v>
      </c>
      <c r="F17" s="540"/>
      <c r="G17" s="169" t="s">
        <v>86</v>
      </c>
      <c r="H17" s="612" t="s">
        <v>101</v>
      </c>
      <c r="I17" s="613"/>
      <c r="J17" s="614"/>
      <c r="K17" s="35"/>
      <c r="L17" s="35"/>
      <c r="M17" s="108"/>
      <c r="N17" s="35">
        <v>0</v>
      </c>
      <c r="O17" s="35">
        <v>0</v>
      </c>
      <c r="P17" s="35">
        <v>0</v>
      </c>
      <c r="Q17" s="35">
        <v>960</v>
      </c>
      <c r="R17" s="35">
        <v>960</v>
      </c>
      <c r="S17" s="35">
        <v>960</v>
      </c>
      <c r="T17" s="151">
        <f t="shared" si="0"/>
        <v>2880</v>
      </c>
      <c r="U17" s="213">
        <v>0</v>
      </c>
      <c r="V17" s="214">
        <v>0</v>
      </c>
      <c r="W17" s="214">
        <v>0</v>
      </c>
      <c r="X17" s="214">
        <v>0</v>
      </c>
      <c r="Y17" s="214">
        <v>0</v>
      </c>
      <c r="Z17" s="215">
        <v>0</v>
      </c>
      <c r="AA17" s="151">
        <f t="shared" si="1"/>
        <v>2880</v>
      </c>
    </row>
    <row r="18" spans="2:27">
      <c r="B18" s="2"/>
      <c r="C18" s="597"/>
      <c r="D18" s="599"/>
      <c r="E18" s="655"/>
      <c r="F18" s="540"/>
      <c r="G18" s="168" t="s">
        <v>99</v>
      </c>
      <c r="H18" s="612"/>
      <c r="I18" s="613"/>
      <c r="J18" s="614"/>
      <c r="K18" s="35"/>
      <c r="L18" s="35"/>
      <c r="M18" s="108"/>
      <c r="N18" s="72">
        <v>0</v>
      </c>
      <c r="O18" s="72">
        <v>0</v>
      </c>
      <c r="P18" s="72">
        <v>0</v>
      </c>
      <c r="Q18" s="173">
        <v>0</v>
      </c>
      <c r="R18" s="133">
        <v>0</v>
      </c>
      <c r="S18" s="72">
        <v>0</v>
      </c>
      <c r="T18" s="150">
        <f t="shared" si="0"/>
        <v>0</v>
      </c>
      <c r="U18" s="141"/>
      <c r="V18" s="35"/>
      <c r="W18" s="35"/>
      <c r="X18" s="35"/>
      <c r="Y18" s="35"/>
      <c r="Z18" s="39"/>
      <c r="AA18" s="150">
        <f t="shared" si="1"/>
        <v>0</v>
      </c>
    </row>
    <row r="19" spans="2:27" ht="19.5" customHeight="1">
      <c r="B19" s="2"/>
      <c r="C19" s="596">
        <v>8</v>
      </c>
      <c r="D19" s="639" t="s">
        <v>117</v>
      </c>
      <c r="E19" s="641" t="s">
        <v>118</v>
      </c>
      <c r="F19" s="540"/>
      <c r="G19" s="169" t="s">
        <v>86</v>
      </c>
      <c r="H19" s="80"/>
      <c r="I19" s="81"/>
      <c r="J19" s="82"/>
      <c r="K19" s="35"/>
      <c r="L19" s="35"/>
      <c r="M19" s="108"/>
      <c r="N19" s="643"/>
      <c r="O19" s="620" t="s">
        <v>119</v>
      </c>
      <c r="P19" s="621"/>
      <c r="Q19" s="35"/>
      <c r="R19" s="35"/>
      <c r="S19" s="35"/>
      <c r="T19" s="180">
        <f t="shared" ref="T19" si="4">SUM(N19:S19)</f>
        <v>0</v>
      </c>
      <c r="U19" s="808" t="s">
        <v>178</v>
      </c>
      <c r="V19" s="809"/>
      <c r="W19" s="809"/>
      <c r="X19" s="809"/>
      <c r="Y19" s="809"/>
      <c r="Z19" s="810"/>
      <c r="AA19" s="151">
        <f t="shared" si="1"/>
        <v>0</v>
      </c>
    </row>
    <row r="20" spans="2:27">
      <c r="B20" s="2"/>
      <c r="C20" s="638"/>
      <c r="D20" s="640"/>
      <c r="E20" s="642"/>
      <c r="F20" s="540"/>
      <c r="G20" s="168" t="s">
        <v>99</v>
      </c>
      <c r="H20" s="83"/>
      <c r="I20" s="84"/>
      <c r="J20" s="85"/>
      <c r="K20" s="62"/>
      <c r="L20" s="62"/>
      <c r="M20" s="109"/>
      <c r="N20" s="644"/>
      <c r="O20" s="622"/>
      <c r="P20" s="623"/>
      <c r="Q20" s="62"/>
      <c r="R20" s="62"/>
      <c r="S20" s="62"/>
      <c r="T20" s="174">
        <f t="shared" si="0"/>
        <v>0</v>
      </c>
      <c r="U20" s="147"/>
      <c r="V20" s="62"/>
      <c r="W20" s="62"/>
      <c r="X20" s="62"/>
      <c r="Y20" s="62"/>
      <c r="Z20" s="138"/>
      <c r="AA20" s="150">
        <f t="shared" si="1"/>
        <v>0</v>
      </c>
    </row>
    <row r="21" spans="2:27" ht="33.75" customHeight="1">
      <c r="B21" s="2"/>
      <c r="C21" s="629">
        <v>9</v>
      </c>
      <c r="D21" s="631" t="s">
        <v>120</v>
      </c>
      <c r="E21" s="633" t="s">
        <v>115</v>
      </c>
      <c r="F21" s="540"/>
      <c r="G21" s="169" t="s">
        <v>86</v>
      </c>
      <c r="H21" s="80"/>
      <c r="I21" s="81"/>
      <c r="J21" s="82"/>
      <c r="K21" s="35"/>
      <c r="L21" s="35"/>
      <c r="M21" s="108"/>
      <c r="N21" s="35"/>
      <c r="O21" s="35"/>
      <c r="P21" s="35"/>
      <c r="Q21" s="35"/>
      <c r="R21" s="62"/>
      <c r="S21" s="643" t="s">
        <v>179</v>
      </c>
      <c r="T21" s="179">
        <f t="shared" si="0"/>
        <v>0</v>
      </c>
      <c r="U21" s="808" t="s">
        <v>178</v>
      </c>
      <c r="V21" s="809"/>
      <c r="W21" s="809"/>
      <c r="X21" s="809"/>
      <c r="Y21" s="809"/>
      <c r="Z21" s="810"/>
      <c r="AA21" s="151">
        <f t="shared" si="1"/>
        <v>0</v>
      </c>
    </row>
    <row r="22" spans="2:27" ht="27.75" customHeight="1">
      <c r="B22" s="2"/>
      <c r="C22" s="630"/>
      <c r="D22" s="632"/>
      <c r="E22" s="634"/>
      <c r="F22" s="654"/>
      <c r="G22" s="168" t="s">
        <v>99</v>
      </c>
      <c r="H22" s="83"/>
      <c r="I22" s="84"/>
      <c r="J22" s="85"/>
      <c r="K22" s="62"/>
      <c r="L22" s="62"/>
      <c r="M22" s="109"/>
      <c r="N22" s="62"/>
      <c r="O22" s="62"/>
      <c r="P22" s="62"/>
      <c r="Q22" s="62"/>
      <c r="R22" s="62"/>
      <c r="S22" s="811"/>
      <c r="T22" s="152">
        <f t="shared" si="0"/>
        <v>0</v>
      </c>
      <c r="U22" s="147"/>
      <c r="V22" s="62"/>
      <c r="W22" s="62"/>
      <c r="X22" s="62"/>
      <c r="Y22" s="62"/>
      <c r="Z22" s="138"/>
      <c r="AA22" s="150">
        <f t="shared" si="1"/>
        <v>0</v>
      </c>
    </row>
    <row r="23" spans="2:27" ht="22.5" customHeight="1">
      <c r="B23" s="2"/>
      <c r="C23" s="645" t="s">
        <v>122</v>
      </c>
      <c r="D23" s="646"/>
      <c r="E23" s="646"/>
      <c r="F23" s="647"/>
      <c r="G23" s="12" t="s">
        <v>86</v>
      </c>
      <c r="H23" s="12">
        <f>SUMIF(G5:G22,"計画",H5:H22)</f>
        <v>200</v>
      </c>
      <c r="I23" s="12">
        <f>SUMIF(G5:G22,"計画",I5:I22)</f>
        <v>500</v>
      </c>
      <c r="J23" s="12">
        <f>SUMIF(G5:G22,"計画",J5:J22)</f>
        <v>600</v>
      </c>
      <c r="K23" s="12">
        <f ca="1">SUMIF(G5:J22,"計画",K5:K22)</f>
        <v>550</v>
      </c>
      <c r="L23" s="12">
        <f>SUMIF(G5:G22,"計画",L5:L22)</f>
        <v>700</v>
      </c>
      <c r="M23" s="76">
        <f ca="1">SUM(H23:L23)</f>
        <v>2550</v>
      </c>
      <c r="N23" s="12">
        <f>SUMIF(G5:G22,"計画",N5:N22)</f>
        <v>500</v>
      </c>
      <c r="O23" s="12">
        <f>SUMIF(G5:G22,"計画",O5:O22)</f>
        <v>375</v>
      </c>
      <c r="P23" s="12">
        <f>SUMIF(G5:G22,"計画",P5:P22)</f>
        <v>1120</v>
      </c>
      <c r="Q23" s="12">
        <f>SUMIF(G5:G22,"計画",Q5:Q22)</f>
        <v>2080</v>
      </c>
      <c r="R23" s="12">
        <f>SUMIF(G5:G22,"計画",R5:R22)</f>
        <v>2230</v>
      </c>
      <c r="S23" s="12">
        <f>SUMIF(G5:G22,"計画",S5:S22)</f>
        <v>2355</v>
      </c>
      <c r="T23" s="154">
        <f>SUM(N23:S23)</f>
        <v>8660</v>
      </c>
      <c r="U23" s="153">
        <f>SUMIF(G5:G22,"計画",U5:U22)</f>
        <v>570</v>
      </c>
      <c r="V23" s="12">
        <f>SUMIF(G5:G22,"計画",V5:V22)</f>
        <v>770</v>
      </c>
      <c r="W23" s="12">
        <f>SUMIF(G5:G22,"計画",W5:W22)</f>
        <v>770</v>
      </c>
      <c r="X23" s="12">
        <f>SUMIF(G5:G22,"計画",X5:X22)</f>
        <v>870</v>
      </c>
      <c r="Y23" s="12">
        <f>SUMIF(G5:G22,"計画",Y5:Y22)</f>
        <v>870</v>
      </c>
      <c r="Z23" s="143">
        <f>SUMIF(G5:G22,"計画",Z5:Z22)</f>
        <v>870</v>
      </c>
      <c r="AA23" s="154">
        <f>SUM(T23:Z23)</f>
        <v>13380</v>
      </c>
    </row>
    <row r="24" spans="2:27" ht="22.5" customHeight="1">
      <c r="B24" s="2"/>
      <c r="C24" s="648"/>
      <c r="D24" s="649"/>
      <c r="E24" s="649"/>
      <c r="F24" s="650"/>
      <c r="G24" s="170" t="s">
        <v>87</v>
      </c>
      <c r="H24" s="10">
        <f>SUMIF(G5:G23,"実績",H5:H23)</f>
        <v>207</v>
      </c>
      <c r="I24" s="10">
        <f ca="1">SUMIF(G5:H23,"実績",I5:I23)</f>
        <v>224</v>
      </c>
      <c r="J24" s="10">
        <f ca="1">SUMIF(G5:I22,"実績",J5:J22)</f>
        <v>109</v>
      </c>
      <c r="K24" s="10">
        <f ca="1">SUMIF(G5:J22,"実績",K5:K22)</f>
        <v>275</v>
      </c>
      <c r="L24" s="10">
        <f ca="1">SUMIF(G5:K22,"実績",L5:L22)</f>
        <v>446</v>
      </c>
      <c r="M24" s="155">
        <f ca="1">SUM(H24:L24)</f>
        <v>1261</v>
      </c>
      <c r="N24" s="156">
        <f>SUMIF($G$5:$G$22,"実績",N5:N22)</f>
        <v>532.5</v>
      </c>
      <c r="O24" s="156">
        <f>SUMIF($G$5:$G$22,"実績",O5:O22)</f>
        <v>277</v>
      </c>
      <c r="P24" s="156">
        <f t="shared" ref="P24:S24" si="5">SUMIF($G$5:$G$22,"実績",P5:P22)</f>
        <v>596</v>
      </c>
      <c r="Q24" s="156">
        <f t="shared" si="5"/>
        <v>550</v>
      </c>
      <c r="R24" s="156">
        <f t="shared" si="5"/>
        <v>601</v>
      </c>
      <c r="S24" s="156">
        <f t="shared" si="5"/>
        <v>663</v>
      </c>
      <c r="T24" s="157">
        <f>SUM(N24:S24)</f>
        <v>3219.5</v>
      </c>
      <c r="U24" s="158">
        <f>SUMIF(G5:G22,"実績",U5:U22)</f>
        <v>0</v>
      </c>
      <c r="V24" s="10">
        <f>SUMIF(G5:G22,"実績",V5:V22)</f>
        <v>0</v>
      </c>
      <c r="W24" s="10">
        <f>SUMIF(G5:G22,"実績",W5:W22)</f>
        <v>0</v>
      </c>
      <c r="X24" s="10">
        <f>SUMIF(G5:G22,"実績",X5:X22)</f>
        <v>0</v>
      </c>
      <c r="Y24" s="10">
        <f>SUMIF(G5:G22,"実績",Y5:Y22)</f>
        <v>0</v>
      </c>
      <c r="Z24" s="159">
        <f>SUMIF(G5:G22,"実績",Z5:Z22)</f>
        <v>0</v>
      </c>
      <c r="AA24" s="157">
        <f t="shared" si="1"/>
        <v>3219.5</v>
      </c>
    </row>
    <row r="25" spans="2:27" ht="22.5" customHeight="1">
      <c r="B25" s="2"/>
      <c r="C25" s="645" t="s">
        <v>123</v>
      </c>
      <c r="D25" s="646"/>
      <c r="E25" s="646"/>
      <c r="F25" s="647"/>
      <c r="G25" s="12" t="s">
        <v>124</v>
      </c>
      <c r="H25" s="12"/>
      <c r="I25" s="12"/>
      <c r="J25" s="12"/>
      <c r="K25" s="12"/>
      <c r="L25" s="12"/>
      <c r="M25" s="12"/>
      <c r="N25" s="12">
        <f>N23</f>
        <v>500</v>
      </c>
      <c r="O25" s="12">
        <f>N25+O23</f>
        <v>875</v>
      </c>
      <c r="P25" s="12">
        <f>O25+P23</f>
        <v>1995</v>
      </c>
      <c r="Q25" s="12">
        <f>P25+Q23</f>
        <v>4075</v>
      </c>
      <c r="R25" s="12">
        <f>Q25+R23</f>
        <v>6305</v>
      </c>
      <c r="S25" s="12">
        <f>R25+S23</f>
        <v>8660</v>
      </c>
      <c r="T25" s="154">
        <f>S25</f>
        <v>8660</v>
      </c>
      <c r="U25" s="153">
        <f>S25+U23</f>
        <v>9230</v>
      </c>
      <c r="V25" s="12">
        <f>U25+V23</f>
        <v>10000</v>
      </c>
      <c r="W25" s="12">
        <f>V25+W23</f>
        <v>10770</v>
      </c>
      <c r="X25" s="12">
        <f>W25+X23</f>
        <v>11640</v>
      </c>
      <c r="Y25" s="12">
        <f>X25+Y23</f>
        <v>12510</v>
      </c>
      <c r="Z25" s="143">
        <f>Y25+Z23</f>
        <v>13380</v>
      </c>
      <c r="AA25" s="154">
        <f>Z25</f>
        <v>13380</v>
      </c>
    </row>
    <row r="26" spans="2:27" ht="22.5" customHeight="1">
      <c r="C26" s="651"/>
      <c r="D26" s="652"/>
      <c r="E26" s="652"/>
      <c r="F26" s="653"/>
      <c r="G26" s="171" t="s">
        <v>99</v>
      </c>
      <c r="H26" s="160"/>
      <c r="I26" s="160"/>
      <c r="J26" s="160"/>
      <c r="K26" s="160"/>
      <c r="L26" s="160"/>
      <c r="M26" s="160"/>
      <c r="N26" s="144">
        <f>N24</f>
        <v>532.5</v>
      </c>
      <c r="O26" s="144">
        <f>N26+O24</f>
        <v>809.5</v>
      </c>
      <c r="P26" s="144">
        <f t="shared" ref="P26:S26" si="6">O26+P24</f>
        <v>1405.5</v>
      </c>
      <c r="Q26" s="144">
        <f t="shared" si="6"/>
        <v>1955.5</v>
      </c>
      <c r="R26" s="144">
        <f t="shared" si="6"/>
        <v>2556.5</v>
      </c>
      <c r="S26" s="144">
        <f t="shared" si="6"/>
        <v>3219.5</v>
      </c>
      <c r="T26" s="161">
        <f>S26</f>
        <v>3219.5</v>
      </c>
      <c r="U26" s="162">
        <f>S26+U24</f>
        <v>3219.5</v>
      </c>
      <c r="V26" s="160">
        <f>U26+V24</f>
        <v>3219.5</v>
      </c>
      <c r="W26" s="160">
        <f t="shared" ref="W26:Y26" si="7">V26+W24</f>
        <v>3219.5</v>
      </c>
      <c r="X26" s="160">
        <f t="shared" si="7"/>
        <v>3219.5</v>
      </c>
      <c r="Y26" s="160">
        <f t="shared" si="7"/>
        <v>3219.5</v>
      </c>
      <c r="Z26" s="164">
        <f>Y26+Z24</f>
        <v>3219.5</v>
      </c>
      <c r="AA26" s="161">
        <f>Z26</f>
        <v>3219.5</v>
      </c>
    </row>
    <row r="27" spans="2:27">
      <c r="T27" s="139"/>
      <c r="AA27" s="139"/>
    </row>
    <row r="28" spans="2:27">
      <c r="H28" s="594"/>
      <c r="I28" s="594"/>
      <c r="J28" s="594"/>
      <c r="K28" s="595"/>
      <c r="L28" s="595"/>
      <c r="M28" s="595"/>
      <c r="T28" s="1"/>
      <c r="V28" s="594" t="s">
        <v>86</v>
      </c>
      <c r="W28" s="594"/>
      <c r="X28" s="594"/>
      <c r="Y28" s="595" t="s">
        <v>99</v>
      </c>
      <c r="Z28" s="595"/>
      <c r="AA28" s="595"/>
    </row>
    <row r="29" spans="2:27" ht="19.149999999999999" customHeight="1">
      <c r="D29" s="590"/>
      <c r="E29" s="591"/>
      <c r="F29" s="591"/>
      <c r="G29" s="592"/>
      <c r="H29" s="587"/>
      <c r="I29" s="588"/>
      <c r="J29" s="589"/>
      <c r="K29" s="587"/>
      <c r="L29" s="588"/>
      <c r="M29" s="589"/>
      <c r="O29" s="593" t="s">
        <v>103</v>
      </c>
      <c r="P29" s="593"/>
      <c r="Q29" s="593"/>
      <c r="R29" s="593"/>
      <c r="S29" s="593"/>
      <c r="T29" s="593"/>
      <c r="U29" s="593"/>
      <c r="V29" s="587">
        <f>SUM(AA23)</f>
        <v>13380</v>
      </c>
      <c r="W29" s="588"/>
      <c r="X29" s="589"/>
      <c r="Y29" s="587">
        <f>AA26</f>
        <v>3219.5</v>
      </c>
      <c r="Z29" s="588"/>
      <c r="AA29" s="589"/>
    </row>
    <row r="30" spans="2:27">
      <c r="D30" s="590"/>
      <c r="E30" s="591"/>
      <c r="F30" s="591"/>
      <c r="G30" s="592"/>
      <c r="H30" s="587"/>
      <c r="I30" s="588"/>
      <c r="J30" s="589"/>
      <c r="K30" s="587"/>
      <c r="L30" s="588"/>
      <c r="M30" s="589"/>
      <c r="O30" s="593" t="s">
        <v>35</v>
      </c>
      <c r="P30" s="593"/>
      <c r="Q30" s="593"/>
      <c r="R30" s="593"/>
      <c r="S30" s="593"/>
      <c r="T30" s="593"/>
      <c r="U30" s="593"/>
      <c r="V30" s="587">
        <f>V29*1800</f>
        <v>24084000</v>
      </c>
      <c r="W30" s="588"/>
      <c r="X30" s="589"/>
      <c r="Y30" s="587">
        <f>Y29*1800</f>
        <v>5795100</v>
      </c>
      <c r="Z30" s="588"/>
      <c r="AA30" s="589"/>
    </row>
    <row r="31" spans="2:27">
      <c r="D31" s="590"/>
      <c r="E31" s="591"/>
      <c r="F31" s="591"/>
      <c r="G31" s="592"/>
      <c r="H31" s="587"/>
      <c r="I31" s="588"/>
      <c r="J31" s="589"/>
      <c r="K31" s="587"/>
      <c r="L31" s="588"/>
      <c r="M31" s="589"/>
      <c r="O31" s="593" t="s">
        <v>36</v>
      </c>
      <c r="P31" s="593"/>
      <c r="Q31" s="593"/>
      <c r="R31" s="593"/>
      <c r="S31" s="593"/>
      <c r="T31" s="593"/>
      <c r="U31" s="593"/>
      <c r="V31" s="587">
        <v>165</v>
      </c>
      <c r="W31" s="588"/>
      <c r="X31" s="589"/>
      <c r="Y31" s="587">
        <v>165</v>
      </c>
      <c r="Z31" s="588"/>
      <c r="AA31" s="589"/>
    </row>
    <row r="32" spans="2:27">
      <c r="D32" s="590"/>
      <c r="E32" s="591"/>
      <c r="F32" s="591"/>
      <c r="G32" s="592"/>
      <c r="H32" s="587"/>
      <c r="I32" s="588"/>
      <c r="J32" s="589"/>
      <c r="K32" s="587"/>
      <c r="L32" s="588"/>
      <c r="M32" s="589"/>
      <c r="O32" s="593" t="s">
        <v>37</v>
      </c>
      <c r="P32" s="593"/>
      <c r="Q32" s="593"/>
      <c r="R32" s="593"/>
      <c r="S32" s="593"/>
      <c r="T32" s="593"/>
      <c r="U32" s="593"/>
      <c r="V32" s="587">
        <f>V30*V31</f>
        <v>3973860000</v>
      </c>
      <c r="W32" s="588"/>
      <c r="X32" s="589"/>
      <c r="Y32" s="587">
        <f>Y30*Y31</f>
        <v>956191500</v>
      </c>
      <c r="Z32" s="588"/>
      <c r="AA32" s="589"/>
    </row>
    <row r="33" s="139" customFormat="1"/>
    <row r="34" s="139" customFormat="1"/>
    <row r="35" s="139" customFormat="1"/>
    <row r="36" s="139" customFormat="1"/>
    <row r="37" s="139" customFormat="1"/>
    <row r="38" s="139" customFormat="1"/>
    <row r="39" s="139" customFormat="1"/>
    <row r="40" s="139" customFormat="1"/>
    <row r="41" s="139" customFormat="1"/>
    <row r="42" s="139" customFormat="1"/>
    <row r="43" s="139" customFormat="1"/>
    <row r="44" s="139" customFormat="1"/>
    <row r="45" s="139" customFormat="1"/>
    <row r="46" s="139" customFormat="1"/>
    <row r="47" s="139" customFormat="1"/>
    <row r="48" s="139" customFormat="1"/>
    <row r="49" s="139" customFormat="1"/>
    <row r="50" s="139" customFormat="1"/>
    <row r="51" s="139" customFormat="1"/>
    <row r="52" s="139" customFormat="1"/>
    <row r="53" s="139" customFormat="1"/>
    <row r="54" s="139" customFormat="1"/>
    <row r="55" s="139" customFormat="1"/>
    <row r="56" s="139" customFormat="1"/>
    <row r="57" s="139" customFormat="1"/>
    <row r="58" s="139" customFormat="1"/>
    <row r="59" s="139" customFormat="1"/>
    <row r="60" s="139" customFormat="1"/>
    <row r="61" s="139" customFormat="1"/>
    <row r="62" s="139" customFormat="1"/>
    <row r="63" s="139" customFormat="1"/>
    <row r="64" s="139" customFormat="1"/>
    <row r="65" s="139" customFormat="1"/>
    <row r="66" s="139" customFormat="1"/>
    <row r="67" s="139" customFormat="1"/>
    <row r="68" s="139" customFormat="1"/>
    <row r="69" s="139" customFormat="1"/>
    <row r="70" s="139" customFormat="1"/>
    <row r="71" s="139" customFormat="1"/>
    <row r="72" s="139" customFormat="1"/>
    <row r="73" s="139" customFormat="1"/>
    <row r="74" s="139" customFormat="1"/>
    <row r="75" s="139" customFormat="1"/>
    <row r="76" s="139" customFormat="1"/>
    <row r="77" s="139" customFormat="1"/>
    <row r="78" s="139" customFormat="1"/>
    <row r="79" s="139" customFormat="1"/>
    <row r="80" s="139" customFormat="1"/>
    <row r="81" s="139" customFormat="1"/>
    <row r="82" s="139" customFormat="1"/>
    <row r="83" s="139" customFormat="1"/>
    <row r="84" s="139" customFormat="1"/>
    <row r="85" s="139" customFormat="1"/>
    <row r="86" s="139" customFormat="1"/>
    <row r="87" s="139" customFormat="1"/>
    <row r="88" s="139" customFormat="1"/>
    <row r="89" s="139" customFormat="1"/>
    <row r="90" s="139" customFormat="1"/>
    <row r="91" s="139" customFormat="1"/>
    <row r="92" s="139" customFormat="1"/>
    <row r="93" s="139" customFormat="1"/>
    <row r="94" s="139" customFormat="1"/>
    <row r="95" s="139" customFormat="1"/>
    <row r="96" s="139" customFormat="1"/>
    <row r="97" s="139" customFormat="1"/>
    <row r="98" s="139" customFormat="1"/>
    <row r="99" s="139" customFormat="1"/>
    <row r="100" s="139" customFormat="1"/>
    <row r="101" s="139" customFormat="1"/>
    <row r="102" s="139" customFormat="1"/>
    <row r="103" s="139" customFormat="1"/>
    <row r="104" s="139" customFormat="1"/>
    <row r="105" s="139" customFormat="1"/>
    <row r="106" s="139" customFormat="1"/>
    <row r="107" s="139" customFormat="1"/>
    <row r="108" s="139" customFormat="1"/>
    <row r="109" s="139" customFormat="1"/>
    <row r="110" s="139" customFormat="1"/>
    <row r="111" s="139" customFormat="1"/>
    <row r="112" s="139" customFormat="1"/>
    <row r="113" s="139" customFormat="1"/>
    <row r="114" s="139" customFormat="1"/>
    <row r="115" s="139" customFormat="1"/>
    <row r="116" s="139" customFormat="1"/>
    <row r="117" s="139" customFormat="1"/>
    <row r="118" s="139" customFormat="1"/>
    <row r="119" s="139" customFormat="1"/>
    <row r="120" s="139" customFormat="1"/>
    <row r="121" s="139" customFormat="1"/>
    <row r="122" s="139" customFormat="1"/>
    <row r="123" s="139" customFormat="1"/>
    <row r="124" s="139" customFormat="1"/>
    <row r="125" s="139" customFormat="1"/>
    <row r="126" s="139" customFormat="1"/>
    <row r="127" s="139" customFormat="1"/>
    <row r="128" s="139" customFormat="1"/>
    <row r="129" s="139" customFormat="1"/>
    <row r="130" s="139" customFormat="1"/>
    <row r="131" s="139" customFormat="1"/>
    <row r="132" s="139" customFormat="1"/>
    <row r="133" s="139" customFormat="1"/>
    <row r="134" s="139" customFormat="1"/>
    <row r="135" s="139" customFormat="1"/>
    <row r="136" s="139" customFormat="1"/>
    <row r="137" s="139" customFormat="1"/>
    <row r="138" s="139" customFormat="1"/>
    <row r="139" s="139" customFormat="1"/>
    <row r="140" s="139" customFormat="1"/>
    <row r="141" s="139" customFormat="1"/>
    <row r="142" s="139" customFormat="1"/>
    <row r="143" s="139" customFormat="1"/>
    <row r="144" s="139" customFormat="1"/>
    <row r="145" s="139" customFormat="1"/>
    <row r="146" s="139" customFormat="1"/>
    <row r="147" s="139" customFormat="1"/>
    <row r="148" s="139" customFormat="1"/>
    <row r="149" s="139" customFormat="1"/>
    <row r="150" s="139" customFormat="1"/>
    <row r="151" s="139" customFormat="1"/>
    <row r="152" s="139" customFormat="1"/>
    <row r="153" s="139" customFormat="1"/>
    <row r="154" s="139" customFormat="1"/>
    <row r="155" s="139" customFormat="1"/>
    <row r="156" s="139" customFormat="1"/>
    <row r="157" s="139" customFormat="1"/>
    <row r="158" s="139" customFormat="1"/>
    <row r="159" s="139" customFormat="1"/>
    <row r="160" s="139" customFormat="1"/>
    <row r="161" s="139" customFormat="1"/>
    <row r="162" s="139" customFormat="1"/>
    <row r="163" s="139" customFormat="1"/>
    <row r="164" s="139" customFormat="1"/>
    <row r="165" s="139" customFormat="1"/>
    <row r="166" s="139" customFormat="1"/>
    <row r="167" s="139" customFormat="1"/>
    <row r="168" s="139" customFormat="1"/>
    <row r="169" s="139" customFormat="1"/>
    <row r="170" s="139" customFormat="1"/>
    <row r="171" s="139" customFormat="1"/>
    <row r="172" s="139" customFormat="1"/>
    <row r="173" s="139" customFormat="1"/>
    <row r="174" s="139" customFormat="1"/>
    <row r="175" s="139" customFormat="1"/>
    <row r="176" s="139" customFormat="1"/>
    <row r="177" s="139" customFormat="1"/>
    <row r="178" s="139" customFormat="1"/>
    <row r="179" s="139" customFormat="1"/>
    <row r="180" s="139" customFormat="1"/>
    <row r="181" s="139" customFormat="1"/>
    <row r="182" s="139" customFormat="1"/>
    <row r="183" s="139" customFormat="1"/>
    <row r="184" s="139" customFormat="1"/>
    <row r="185" s="139" customFormat="1"/>
    <row r="186" s="139" customFormat="1"/>
    <row r="187" s="139" customFormat="1"/>
    <row r="188" s="139" customFormat="1"/>
    <row r="189" s="139" customFormat="1"/>
    <row r="190" s="139" customFormat="1"/>
    <row r="191" s="139" customFormat="1"/>
    <row r="192" s="139" customFormat="1"/>
    <row r="193" s="139" customFormat="1"/>
    <row r="194" s="139" customFormat="1"/>
    <row r="195" s="139" customFormat="1"/>
    <row r="196" s="139" customFormat="1"/>
    <row r="197" s="139" customFormat="1"/>
    <row r="198" s="139" customFormat="1"/>
    <row r="199" s="139" customFormat="1"/>
    <row r="200" s="139" customFormat="1"/>
    <row r="201" s="139" customFormat="1"/>
    <row r="202" s="139" customFormat="1"/>
    <row r="203" s="139" customFormat="1"/>
    <row r="204" s="139" customFormat="1"/>
    <row r="205" s="139" customFormat="1"/>
    <row r="206" s="139" customFormat="1"/>
    <row r="207" s="139" customFormat="1"/>
    <row r="208" s="139" customFormat="1"/>
    <row r="209" s="139" customFormat="1"/>
    <row r="210" s="139" customFormat="1"/>
    <row r="211" s="139" customFormat="1"/>
    <row r="212" s="139" customFormat="1"/>
    <row r="213" s="139" customFormat="1"/>
    <row r="214" s="139" customFormat="1"/>
    <row r="215" s="139" customFormat="1"/>
    <row r="216" s="139" customFormat="1"/>
    <row r="217" s="139" customFormat="1"/>
    <row r="218" s="139" customFormat="1"/>
    <row r="219" s="139" customFormat="1"/>
    <row r="220" s="139" customFormat="1"/>
    <row r="221" s="139" customFormat="1"/>
    <row r="222" s="139" customFormat="1"/>
    <row r="223" s="139" customFormat="1"/>
    <row r="224" s="139" customFormat="1"/>
    <row r="225" s="139" customFormat="1"/>
    <row r="226" s="139" customFormat="1"/>
    <row r="227" s="139" customFormat="1"/>
    <row r="228" s="139" customFormat="1"/>
    <row r="229" s="139" customFormat="1"/>
    <row r="230" s="139" customFormat="1"/>
    <row r="231" s="139" customFormat="1"/>
    <row r="232" s="139" customFormat="1"/>
    <row r="233" s="139" customFormat="1"/>
    <row r="234" s="139" customFormat="1"/>
    <row r="235" s="139" customFormat="1"/>
    <row r="236" s="139" customFormat="1"/>
    <row r="237" s="139" customFormat="1"/>
    <row r="238" s="139" customFormat="1"/>
    <row r="239" s="139" customFormat="1"/>
    <row r="240" s="139" customFormat="1"/>
    <row r="241" s="139" customFormat="1"/>
    <row r="242" s="139" customFormat="1"/>
    <row r="243" s="139" customFormat="1"/>
    <row r="244" s="139" customFormat="1"/>
    <row r="245" s="139" customFormat="1"/>
    <row r="246" s="139" customFormat="1"/>
    <row r="247" s="139" customFormat="1"/>
    <row r="248" s="139" customFormat="1"/>
    <row r="249" s="139" customFormat="1"/>
    <row r="250" s="139" customFormat="1"/>
    <row r="251" s="139" customFormat="1"/>
    <row r="252" s="139" customFormat="1"/>
    <row r="253" s="139" customFormat="1"/>
    <row r="254" s="139" customFormat="1"/>
    <row r="255" s="139" customFormat="1"/>
    <row r="256" s="139" customFormat="1"/>
    <row r="257" s="139" customFormat="1"/>
    <row r="258" s="139" customFormat="1"/>
    <row r="259" s="139" customFormat="1"/>
    <row r="260" s="139" customFormat="1"/>
    <row r="261" s="139" customFormat="1"/>
    <row r="262" s="139" customFormat="1"/>
    <row r="263" s="139" customFormat="1"/>
    <row r="264" s="139" customFormat="1"/>
    <row r="265" s="139" customFormat="1"/>
    <row r="266" s="139" customFormat="1"/>
    <row r="267" s="139" customFormat="1"/>
    <row r="268" s="139" customFormat="1"/>
    <row r="269" s="139" customFormat="1"/>
    <row r="270" s="139" customFormat="1"/>
    <row r="271" s="139" customFormat="1"/>
    <row r="272" s="139" customFormat="1"/>
    <row r="273" s="139" customFormat="1"/>
    <row r="274" s="139" customFormat="1"/>
    <row r="275" s="139" customFormat="1"/>
    <row r="276" s="139" customFormat="1"/>
    <row r="277" s="139" customFormat="1"/>
    <row r="278" s="139" customFormat="1"/>
    <row r="279" s="139" customFormat="1"/>
    <row r="280" s="139" customFormat="1"/>
    <row r="281" s="139" customFormat="1"/>
    <row r="282" s="139" customFormat="1"/>
    <row r="283" s="139" customFormat="1"/>
    <row r="284" s="139" customFormat="1"/>
    <row r="285" s="139" customFormat="1"/>
    <row r="286" s="139" customFormat="1"/>
    <row r="287" s="139" customFormat="1"/>
    <row r="288" s="139" customFormat="1"/>
    <row r="289" s="139" customFormat="1"/>
    <row r="290" s="139" customFormat="1"/>
    <row r="291" s="139" customFormat="1"/>
    <row r="292" s="139" customFormat="1"/>
    <row r="293" s="139" customFormat="1"/>
    <row r="294" s="139" customFormat="1"/>
    <row r="295" s="139" customFormat="1"/>
    <row r="296" s="139" customFormat="1"/>
    <row r="297" s="139" customFormat="1"/>
    <row r="298" s="139" customFormat="1"/>
    <row r="299" s="139" customFormat="1"/>
    <row r="300" s="139" customFormat="1"/>
    <row r="301" s="139" customFormat="1"/>
    <row r="302" s="139" customFormat="1"/>
    <row r="303" s="139" customFormat="1"/>
    <row r="304" s="139" customFormat="1"/>
    <row r="305" s="139" customFormat="1"/>
    <row r="306" s="139" customFormat="1"/>
    <row r="307" s="139" customFormat="1"/>
    <row r="308" s="139" customFormat="1"/>
    <row r="309" s="139" customFormat="1"/>
    <row r="310" s="139" customFormat="1"/>
    <row r="311" s="139" customFormat="1"/>
    <row r="312" s="139" customFormat="1"/>
    <row r="313" s="139" customFormat="1"/>
    <row r="314" s="139" customFormat="1"/>
    <row r="315" s="139" customFormat="1"/>
    <row r="316" s="139" customFormat="1"/>
    <row r="317" s="139" customFormat="1"/>
    <row r="318" s="139" customFormat="1"/>
    <row r="319" s="139" customFormat="1"/>
    <row r="320" s="139" customFormat="1"/>
    <row r="321" s="139" customFormat="1"/>
    <row r="322" s="139" customFormat="1"/>
    <row r="323" s="139" customFormat="1"/>
    <row r="324" s="139" customFormat="1"/>
    <row r="325" s="139" customFormat="1"/>
    <row r="326" s="139" customFormat="1"/>
    <row r="327" s="139" customFormat="1"/>
    <row r="328" s="139" customFormat="1"/>
    <row r="329" s="139" customFormat="1"/>
    <row r="330" s="139" customFormat="1"/>
    <row r="331" s="139" customFormat="1"/>
    <row r="332" s="139" customFormat="1"/>
    <row r="333" s="139" customFormat="1"/>
    <row r="334" s="139" customFormat="1"/>
    <row r="335" s="139" customFormat="1"/>
    <row r="336" s="139" customFormat="1"/>
    <row r="337" s="139" customFormat="1"/>
    <row r="338" s="139" customFormat="1"/>
    <row r="339" s="139" customFormat="1"/>
    <row r="340" s="139" customFormat="1"/>
    <row r="341" s="139" customFormat="1"/>
    <row r="342" s="139" customFormat="1"/>
    <row r="343" s="139" customFormat="1"/>
    <row r="344" s="139" customFormat="1"/>
    <row r="345" s="139" customFormat="1"/>
    <row r="346" s="139" customFormat="1"/>
    <row r="347" s="139" customFormat="1"/>
    <row r="348" s="139" customFormat="1"/>
    <row r="349" s="139" customFormat="1"/>
    <row r="350" s="139" customFormat="1"/>
    <row r="351" s="139" customFormat="1"/>
    <row r="352" s="139" customFormat="1"/>
    <row r="353" s="139" customFormat="1"/>
    <row r="354" s="139" customFormat="1"/>
    <row r="355" s="139" customFormat="1"/>
    <row r="356" s="139" customFormat="1"/>
    <row r="357" s="139" customFormat="1"/>
    <row r="358" s="139" customFormat="1"/>
    <row r="359" s="139" customFormat="1"/>
    <row r="360" s="139" customFormat="1"/>
    <row r="361" s="139" customFormat="1"/>
    <row r="362" s="139" customFormat="1"/>
    <row r="363" s="139" customFormat="1"/>
    <row r="364" s="139" customFormat="1"/>
    <row r="365" s="139" customFormat="1"/>
    <row r="366" s="139" customFormat="1"/>
    <row r="367" s="139" customFormat="1"/>
    <row r="368" s="139" customFormat="1"/>
    <row r="369" s="139" customFormat="1"/>
    <row r="370" s="139" customFormat="1"/>
    <row r="371" s="139" customFormat="1"/>
    <row r="372" s="139" customFormat="1"/>
    <row r="373" s="139" customFormat="1"/>
    <row r="374" s="139" customFormat="1"/>
    <row r="375" s="139" customFormat="1"/>
    <row r="376" s="139" customFormat="1"/>
    <row r="377" s="139" customFormat="1"/>
    <row r="378" s="139" customFormat="1"/>
    <row r="379" s="139" customFormat="1"/>
    <row r="380" s="139" customFormat="1"/>
    <row r="381" s="139" customFormat="1"/>
    <row r="382" s="139" customFormat="1"/>
    <row r="383" s="139" customFormat="1"/>
    <row r="384" s="139" customFormat="1"/>
    <row r="385" s="139" customFormat="1"/>
    <row r="386" s="139" customFormat="1"/>
    <row r="387" s="139" customFormat="1"/>
    <row r="388" s="139" customFormat="1"/>
    <row r="389" s="139" customFormat="1"/>
    <row r="390" s="139" customFormat="1"/>
    <row r="391" s="139" customFormat="1"/>
    <row r="392" s="139" customFormat="1"/>
    <row r="393" s="139" customFormat="1"/>
    <row r="394" s="139" customFormat="1"/>
    <row r="395" s="139" customFormat="1"/>
    <row r="396" s="139" customFormat="1"/>
    <row r="397" s="139" customFormat="1"/>
    <row r="398" s="139" customFormat="1"/>
    <row r="399" s="139" customFormat="1"/>
    <row r="400" s="139" customFormat="1"/>
    <row r="401" s="139" customFormat="1"/>
    <row r="402" s="139" customFormat="1"/>
    <row r="403" s="139" customFormat="1"/>
    <row r="404" s="139" customFormat="1"/>
    <row r="405" s="139" customFormat="1"/>
    <row r="406" s="139" customFormat="1"/>
    <row r="407" s="139" customFormat="1"/>
    <row r="408" s="139" customFormat="1"/>
    <row r="409" s="139" customFormat="1"/>
    <row r="410" s="139" customFormat="1"/>
    <row r="411" s="139" customFormat="1"/>
    <row r="412" s="139" customFormat="1"/>
    <row r="413" s="139" customFormat="1"/>
    <row r="414" s="139" customFormat="1"/>
    <row r="415" s="139" customFormat="1"/>
    <row r="416" s="139" customFormat="1"/>
    <row r="417" s="139" customFormat="1"/>
    <row r="418" s="139" customFormat="1"/>
    <row r="419" s="139" customFormat="1"/>
    <row r="420" s="139" customFormat="1"/>
    <row r="421" s="139" customFormat="1"/>
    <row r="422" s="139" customFormat="1"/>
    <row r="423" s="139" customFormat="1"/>
    <row r="424" s="139" customFormat="1"/>
    <row r="425" s="139" customFormat="1"/>
    <row r="426" s="139" customFormat="1"/>
    <row r="427" s="139" customFormat="1"/>
    <row r="428" s="139" customFormat="1"/>
  </sheetData>
  <mergeCells count="67">
    <mergeCell ref="C2:N2"/>
    <mergeCell ref="K3:R3"/>
    <mergeCell ref="C5:C6"/>
    <mergeCell ref="D5:D6"/>
    <mergeCell ref="E5:E6"/>
    <mergeCell ref="F5:F6"/>
    <mergeCell ref="H15:J16"/>
    <mergeCell ref="C7:C8"/>
    <mergeCell ref="D7:D8"/>
    <mergeCell ref="E7:E8"/>
    <mergeCell ref="F7:F8"/>
    <mergeCell ref="C9:C10"/>
    <mergeCell ref="D9:D10"/>
    <mergeCell ref="F9:F22"/>
    <mergeCell ref="C11:C12"/>
    <mergeCell ref="D11:D12"/>
    <mergeCell ref="C13:C14"/>
    <mergeCell ref="D13:D14"/>
    <mergeCell ref="E13:E14"/>
    <mergeCell ref="C15:C16"/>
    <mergeCell ref="D15:D16"/>
    <mergeCell ref="E15:E16"/>
    <mergeCell ref="C17:C18"/>
    <mergeCell ref="D17:D18"/>
    <mergeCell ref="E17:E18"/>
    <mergeCell ref="H17:J18"/>
    <mergeCell ref="C19:C20"/>
    <mergeCell ref="D19:D20"/>
    <mergeCell ref="E19:E20"/>
    <mergeCell ref="Y28:AA28"/>
    <mergeCell ref="N19:N20"/>
    <mergeCell ref="O19:P20"/>
    <mergeCell ref="C21:C22"/>
    <mergeCell ref="D21:D22"/>
    <mergeCell ref="E21:E22"/>
    <mergeCell ref="C23:F24"/>
    <mergeCell ref="C25:F26"/>
    <mergeCell ref="H28:J28"/>
    <mergeCell ref="K28:M28"/>
    <mergeCell ref="V28:X28"/>
    <mergeCell ref="U19:Z19"/>
    <mergeCell ref="U21:Z21"/>
    <mergeCell ref="S21:S22"/>
    <mergeCell ref="K30:M30"/>
    <mergeCell ref="O30:U30"/>
    <mergeCell ref="V30:X30"/>
    <mergeCell ref="Y30:AA30"/>
    <mergeCell ref="D29:G29"/>
    <mergeCell ref="H29:J29"/>
    <mergeCell ref="K29:M29"/>
    <mergeCell ref="O29:U29"/>
    <mergeCell ref="V29:X29"/>
    <mergeCell ref="Y29:AA29"/>
    <mergeCell ref="D30:G30"/>
    <mergeCell ref="H30:J30"/>
    <mergeCell ref="Y32:AA32"/>
    <mergeCell ref="D31:G31"/>
    <mergeCell ref="H31:J31"/>
    <mergeCell ref="K31:M31"/>
    <mergeCell ref="O31:U31"/>
    <mergeCell ref="V31:X31"/>
    <mergeCell ref="Y31:AA31"/>
    <mergeCell ref="D32:G32"/>
    <mergeCell ref="H32:J32"/>
    <mergeCell ref="K32:M32"/>
    <mergeCell ref="O32:U32"/>
    <mergeCell ref="V32:X32"/>
  </mergeCells>
  <phoneticPr fontId="10"/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F8AC-7048-49D2-B1E6-DE8BF6EA6437}">
  <sheetPr codeName="Sheet10"/>
  <dimension ref="B2:AA34"/>
  <sheetViews>
    <sheetView zoomScale="85" zoomScaleNormal="85" workbookViewId="0">
      <selection activeCell="R14" sqref="R14"/>
    </sheetView>
  </sheetViews>
  <sheetFormatPr defaultColWidth="8.85546875" defaultRowHeight="19.5"/>
  <cols>
    <col min="1" max="2" width="8.85546875" style="1"/>
    <col min="3" max="3" width="4.5703125" style="1" bestFit="1" customWidth="1"/>
    <col min="4" max="4" width="13.42578125" style="1" bestFit="1" customWidth="1"/>
    <col min="5" max="5" width="11.28515625" style="1" customWidth="1"/>
    <col min="6" max="6" width="7.5703125" style="1" customWidth="1"/>
    <col min="7" max="7" width="6" style="1" customWidth="1"/>
    <col min="8" max="9" width="5.42578125" style="1" hidden="1" customWidth="1"/>
    <col min="10" max="12" width="6.28515625" style="1" hidden="1" customWidth="1"/>
    <col min="13" max="13" width="11.42578125" style="110" hidden="1" customWidth="1"/>
    <col min="14" max="14" width="6" style="1" bestFit="1" customWidth="1"/>
    <col min="15" max="15" width="6.7109375" style="1" customWidth="1"/>
    <col min="16" max="16" width="6.42578125" style="1" customWidth="1"/>
    <col min="17" max="19" width="7.42578125" style="1" bestFit="1" customWidth="1"/>
    <col min="20" max="20" width="11.42578125" style="110" customWidth="1"/>
    <col min="21" max="23" width="7.42578125" style="1" bestFit="1" customWidth="1"/>
    <col min="24" max="24" width="6.7109375" style="1" customWidth="1"/>
    <col min="25" max="26" width="7.42578125" style="1" customWidth="1"/>
    <col min="27" max="27" width="11.42578125" style="110" customWidth="1"/>
    <col min="28" max="32" width="8.85546875" style="1"/>
    <col min="33" max="33" width="10" style="1" bestFit="1" customWidth="1"/>
    <col min="34" max="16384" width="8.85546875" style="1"/>
  </cols>
  <sheetData>
    <row r="2" spans="2:27" ht="38.25">
      <c r="C2" s="551" t="s">
        <v>71</v>
      </c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99"/>
      <c r="P2" s="99"/>
      <c r="Q2" s="99"/>
      <c r="R2" s="99"/>
      <c r="S2" s="99"/>
      <c r="U2" s="99"/>
      <c r="V2" s="99"/>
      <c r="W2" s="99"/>
      <c r="X2" s="99"/>
      <c r="Y2" s="99"/>
    </row>
    <row r="3" spans="2:27" ht="20.25" thickBot="1">
      <c r="K3" s="615" t="s">
        <v>72</v>
      </c>
      <c r="L3" s="615"/>
      <c r="M3" s="615"/>
      <c r="N3" s="615"/>
      <c r="T3" s="110" t="s">
        <v>105</v>
      </c>
    </row>
    <row r="4" spans="2:27" ht="44.25" customHeight="1" thickBot="1">
      <c r="C4" s="45" t="s">
        <v>73</v>
      </c>
      <c r="D4" s="46" t="s">
        <v>7</v>
      </c>
      <c r="E4" s="46" t="s">
        <v>106</v>
      </c>
      <c r="F4" s="134" t="s">
        <v>180</v>
      </c>
      <c r="G4" s="46"/>
      <c r="H4" s="46" t="s">
        <v>8</v>
      </c>
      <c r="I4" s="46" t="s">
        <v>9</v>
      </c>
      <c r="J4" s="46" t="s">
        <v>10</v>
      </c>
      <c r="K4" s="46" t="s">
        <v>11</v>
      </c>
      <c r="L4" s="46" t="s">
        <v>74</v>
      </c>
      <c r="M4" s="105" t="s">
        <v>13</v>
      </c>
      <c r="N4" s="46" t="s">
        <v>14</v>
      </c>
      <c r="O4" s="46" t="s">
        <v>75</v>
      </c>
      <c r="P4" s="46" t="s">
        <v>76</v>
      </c>
      <c r="Q4" s="46" t="s">
        <v>77</v>
      </c>
      <c r="R4" s="46" t="s">
        <v>78</v>
      </c>
      <c r="S4" s="46" t="s">
        <v>79</v>
      </c>
      <c r="T4" s="105" t="s">
        <v>13</v>
      </c>
      <c r="U4" s="46" t="s">
        <v>80</v>
      </c>
      <c r="V4" s="46" t="s">
        <v>81</v>
      </c>
      <c r="W4" s="46" t="s">
        <v>82</v>
      </c>
      <c r="X4" s="46" t="s">
        <v>83</v>
      </c>
      <c r="Y4" s="46" t="s">
        <v>84</v>
      </c>
      <c r="Z4" s="100" t="s">
        <v>74</v>
      </c>
      <c r="AA4" s="105" t="s">
        <v>13</v>
      </c>
    </row>
    <row r="5" spans="2:27">
      <c r="B5" s="2"/>
      <c r="C5" s="616">
        <v>1</v>
      </c>
      <c r="D5" s="617" t="s">
        <v>22</v>
      </c>
      <c r="E5" s="812" t="s">
        <v>85</v>
      </c>
      <c r="F5" s="617" t="s">
        <v>108</v>
      </c>
      <c r="G5" s="73" t="s">
        <v>86</v>
      </c>
      <c r="H5" s="74">
        <v>100</v>
      </c>
      <c r="I5" s="74">
        <v>100</v>
      </c>
      <c r="J5" s="74">
        <v>200</v>
      </c>
      <c r="K5" s="74">
        <v>200</v>
      </c>
      <c r="L5" s="74">
        <v>300</v>
      </c>
      <c r="M5" s="106">
        <f>SUM(H5:L5)</f>
        <v>900</v>
      </c>
      <c r="N5" s="74">
        <v>0</v>
      </c>
      <c r="O5" s="74"/>
      <c r="P5" s="74"/>
      <c r="Q5" s="74"/>
      <c r="R5" s="74"/>
      <c r="S5" s="74"/>
      <c r="T5" s="106">
        <f>SUM(F5:S5)</f>
        <v>1800</v>
      </c>
      <c r="U5" s="74">
        <v>300</v>
      </c>
      <c r="V5" s="74">
        <v>300</v>
      </c>
      <c r="W5" s="74">
        <v>300</v>
      </c>
      <c r="X5" s="74">
        <v>300</v>
      </c>
      <c r="Y5" s="74">
        <v>300</v>
      </c>
      <c r="Z5" s="74">
        <v>300</v>
      </c>
      <c r="AA5" s="106">
        <f>SUM(N5:Z5)</f>
        <v>3600</v>
      </c>
    </row>
    <row r="6" spans="2:27">
      <c r="B6" s="2"/>
      <c r="C6" s="597"/>
      <c r="D6" s="605"/>
      <c r="E6" s="628"/>
      <c r="F6" s="605"/>
      <c r="G6" s="63" t="s">
        <v>87</v>
      </c>
      <c r="H6" s="43">
        <v>104</v>
      </c>
      <c r="I6" s="43"/>
      <c r="J6" s="43"/>
      <c r="K6" s="43"/>
      <c r="L6" s="43"/>
      <c r="M6" s="107"/>
      <c r="N6" s="43"/>
      <c r="O6" s="43"/>
      <c r="P6" s="43"/>
      <c r="Q6" s="43"/>
      <c r="R6" s="43"/>
      <c r="S6" s="43"/>
      <c r="T6" s="107"/>
      <c r="U6" s="43"/>
      <c r="V6" s="43"/>
      <c r="W6" s="43"/>
      <c r="X6" s="43"/>
      <c r="Y6" s="43"/>
      <c r="Z6" s="43"/>
      <c r="AA6" s="107"/>
    </row>
    <row r="7" spans="2:27">
      <c r="B7" s="2"/>
      <c r="C7" s="596">
        <v>2</v>
      </c>
      <c r="D7" s="604" t="s">
        <v>181</v>
      </c>
      <c r="E7" s="679" t="s">
        <v>90</v>
      </c>
      <c r="F7" s="604" t="s">
        <v>2</v>
      </c>
      <c r="G7" s="42" t="s">
        <v>86</v>
      </c>
      <c r="H7" s="35">
        <v>0</v>
      </c>
      <c r="I7" s="35">
        <v>50</v>
      </c>
      <c r="J7" s="35">
        <v>50</v>
      </c>
      <c r="K7" s="35">
        <v>50</v>
      </c>
      <c r="L7" s="35">
        <v>50</v>
      </c>
      <c r="M7" s="108">
        <f t="shared" ref="M7" si="0">SUM(H7:L7)</f>
        <v>200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108">
        <f>SUM(F7:S7)</f>
        <v>400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108">
        <f>SUM(N7:Z7)</f>
        <v>400</v>
      </c>
    </row>
    <row r="8" spans="2:27">
      <c r="B8" s="2"/>
      <c r="C8" s="597"/>
      <c r="D8" s="605"/>
      <c r="E8" s="628"/>
      <c r="F8" s="540"/>
      <c r="G8" s="63" t="s">
        <v>87</v>
      </c>
      <c r="H8" s="35"/>
      <c r="I8" s="35"/>
      <c r="J8" s="35"/>
      <c r="K8" s="35"/>
      <c r="L8" s="35"/>
      <c r="M8" s="108"/>
      <c r="N8" s="35"/>
      <c r="O8" s="35"/>
      <c r="P8" s="35"/>
      <c r="Q8" s="35"/>
      <c r="R8" s="35"/>
      <c r="S8" s="35"/>
      <c r="T8" s="108"/>
      <c r="U8" s="35"/>
      <c r="V8" s="35"/>
      <c r="W8" s="35"/>
      <c r="X8" s="35"/>
      <c r="Y8" s="35"/>
      <c r="Z8" s="35"/>
      <c r="AA8" s="108"/>
    </row>
    <row r="9" spans="2:27">
      <c r="B9" s="2"/>
      <c r="C9" s="596">
        <v>3</v>
      </c>
      <c r="D9" s="604" t="s">
        <v>182</v>
      </c>
      <c r="E9" s="679" t="s">
        <v>93</v>
      </c>
      <c r="F9" s="540"/>
      <c r="G9" s="42" t="s">
        <v>86</v>
      </c>
      <c r="H9" s="35">
        <v>0</v>
      </c>
      <c r="I9" s="35">
        <v>50</v>
      </c>
      <c r="J9" s="35">
        <v>100</v>
      </c>
      <c r="K9" s="35">
        <v>100</v>
      </c>
      <c r="L9" s="35">
        <v>100</v>
      </c>
      <c r="M9" s="108">
        <f t="shared" ref="M9" si="1">SUM(H9:L9)</f>
        <v>350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108">
        <f>SUM(F9:S9)</f>
        <v>700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108">
        <f>SUM(N9:Z9)</f>
        <v>700</v>
      </c>
    </row>
    <row r="10" spans="2:27">
      <c r="B10" s="2"/>
      <c r="C10" s="597"/>
      <c r="D10" s="605"/>
      <c r="E10" s="628"/>
      <c r="F10" s="540"/>
      <c r="G10" s="63" t="s">
        <v>99</v>
      </c>
      <c r="H10" s="72">
        <v>27</v>
      </c>
      <c r="I10" s="35"/>
      <c r="J10" s="35"/>
      <c r="K10" s="35"/>
      <c r="L10" s="35"/>
      <c r="M10" s="108"/>
      <c r="N10" s="35"/>
      <c r="O10" s="35"/>
      <c r="P10" s="35"/>
      <c r="Q10" s="35"/>
      <c r="R10" s="35"/>
      <c r="S10" s="35"/>
      <c r="T10" s="108"/>
      <c r="U10" s="35"/>
      <c r="V10" s="35"/>
      <c r="W10" s="35"/>
      <c r="X10" s="35"/>
      <c r="Y10" s="35"/>
      <c r="Z10" s="35"/>
      <c r="AA10" s="108"/>
    </row>
    <row r="11" spans="2:27">
      <c r="B11" s="2"/>
      <c r="C11" s="596">
        <v>4</v>
      </c>
      <c r="D11" s="604" t="s">
        <v>109</v>
      </c>
      <c r="E11" s="626" t="s">
        <v>96</v>
      </c>
      <c r="F11" s="540"/>
      <c r="G11" s="42" t="s">
        <v>86</v>
      </c>
      <c r="H11" s="35">
        <v>100</v>
      </c>
      <c r="I11" s="35">
        <v>150</v>
      </c>
      <c r="J11" s="35">
        <v>150</v>
      </c>
      <c r="K11" s="35">
        <v>150</v>
      </c>
      <c r="L11" s="35">
        <v>200</v>
      </c>
      <c r="M11" s="108">
        <f>SUM(H11:L11)</f>
        <v>750</v>
      </c>
      <c r="N11" s="35"/>
      <c r="O11" s="35"/>
      <c r="P11" s="35"/>
      <c r="Q11" s="35">
        <v>150</v>
      </c>
      <c r="R11" s="35">
        <v>150</v>
      </c>
      <c r="S11" s="35">
        <v>200</v>
      </c>
      <c r="T11" s="108">
        <f>SUM(F11:S11)</f>
        <v>2000</v>
      </c>
      <c r="U11" s="35">
        <v>200</v>
      </c>
      <c r="V11" s="35">
        <v>200</v>
      </c>
      <c r="W11" s="35">
        <v>200</v>
      </c>
      <c r="X11" s="35">
        <v>200</v>
      </c>
      <c r="Y11" s="35">
        <v>200</v>
      </c>
      <c r="Z11" s="35">
        <v>200</v>
      </c>
      <c r="AA11" s="108">
        <f>SUM(N11:Z11)</f>
        <v>3700</v>
      </c>
    </row>
    <row r="12" spans="2:27">
      <c r="B12" s="2"/>
      <c r="C12" s="597"/>
      <c r="D12" s="605"/>
      <c r="E12" s="626"/>
      <c r="F12" s="540"/>
      <c r="G12" s="64" t="s">
        <v>87</v>
      </c>
      <c r="H12" s="62">
        <v>100</v>
      </c>
      <c r="I12" s="68">
        <v>150</v>
      </c>
      <c r="J12" s="98"/>
      <c r="K12" s="72">
        <v>125</v>
      </c>
      <c r="L12" s="62"/>
      <c r="M12" s="109"/>
      <c r="N12" s="62"/>
      <c r="O12" s="62"/>
      <c r="P12" s="62"/>
      <c r="Q12" s="62"/>
      <c r="R12" s="62"/>
      <c r="S12" s="62"/>
      <c r="T12" s="109"/>
      <c r="U12" s="62"/>
      <c r="V12" s="62"/>
      <c r="W12" s="62"/>
      <c r="X12" s="62"/>
      <c r="Y12" s="62"/>
      <c r="Z12" s="62"/>
      <c r="AA12" s="109"/>
    </row>
    <row r="13" spans="2:27">
      <c r="B13" s="2"/>
      <c r="C13" s="596">
        <v>5</v>
      </c>
      <c r="D13" s="604" t="s">
        <v>28</v>
      </c>
      <c r="E13" s="679" t="s">
        <v>92</v>
      </c>
      <c r="F13" s="540"/>
      <c r="G13" s="42" t="s">
        <v>86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108">
        <f>SUM(H13:L13)</f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108">
        <f>SUM(F13:S13)</f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108">
        <f>SUM(N13:Z13)</f>
        <v>0</v>
      </c>
    </row>
    <row r="14" spans="2:27">
      <c r="B14" s="2"/>
      <c r="C14" s="597"/>
      <c r="D14" s="605"/>
      <c r="E14" s="628"/>
      <c r="F14" s="540"/>
      <c r="G14" s="63" t="s">
        <v>87</v>
      </c>
      <c r="H14" s="35"/>
      <c r="I14" s="35"/>
      <c r="J14" s="35"/>
      <c r="K14" s="35"/>
      <c r="L14" s="35"/>
      <c r="M14" s="108"/>
      <c r="N14" s="35"/>
      <c r="O14" s="35"/>
      <c r="P14" s="35"/>
      <c r="Q14" s="35"/>
      <c r="R14" s="35"/>
      <c r="S14" s="35"/>
      <c r="T14" s="108"/>
      <c r="U14" s="35"/>
      <c r="V14" s="35"/>
      <c r="W14" s="35"/>
      <c r="X14" s="35"/>
      <c r="Y14" s="35"/>
      <c r="Z14" s="35"/>
      <c r="AA14" s="108"/>
    </row>
    <row r="15" spans="2:27">
      <c r="B15" s="2"/>
      <c r="C15" s="596">
        <v>6</v>
      </c>
      <c r="D15" s="618" t="s">
        <v>183</v>
      </c>
      <c r="E15" s="136" t="s">
        <v>94</v>
      </c>
      <c r="F15" s="540"/>
      <c r="G15" s="42" t="s">
        <v>86</v>
      </c>
      <c r="H15" s="35">
        <v>0</v>
      </c>
      <c r="I15" s="35">
        <v>0</v>
      </c>
      <c r="J15" s="35">
        <v>0</v>
      </c>
      <c r="K15" s="35">
        <v>0</v>
      </c>
      <c r="L15" s="35">
        <v>150</v>
      </c>
      <c r="M15" s="108">
        <f>SUM(H15:L15)</f>
        <v>150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108">
        <f>SUM(F15:S15)</f>
        <v>300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108">
        <f>SUM(N15:Z15)</f>
        <v>300</v>
      </c>
    </row>
    <row r="16" spans="2:27">
      <c r="B16" s="2"/>
      <c r="C16" s="597"/>
      <c r="D16" s="605"/>
      <c r="E16" s="135" t="s">
        <v>95</v>
      </c>
      <c r="F16" s="605"/>
      <c r="G16" s="63" t="s">
        <v>87</v>
      </c>
      <c r="H16" s="35"/>
      <c r="I16" s="35"/>
      <c r="J16" s="35"/>
      <c r="K16" s="35"/>
      <c r="L16" s="35"/>
      <c r="M16" s="108"/>
      <c r="N16" s="35"/>
      <c r="O16" s="35"/>
      <c r="P16" s="35"/>
      <c r="Q16" s="35"/>
      <c r="R16" s="35"/>
      <c r="S16" s="35"/>
      <c r="T16" s="108"/>
      <c r="U16" s="35"/>
      <c r="V16" s="35"/>
      <c r="W16" s="35"/>
      <c r="X16" s="35"/>
      <c r="Y16" s="35"/>
      <c r="Z16" s="35"/>
      <c r="AA16" s="108"/>
    </row>
    <row r="17" spans="2:27">
      <c r="B17" s="2"/>
      <c r="C17" s="596">
        <v>7</v>
      </c>
      <c r="D17" s="604" t="s">
        <v>88</v>
      </c>
      <c r="E17" s="136" t="s">
        <v>89</v>
      </c>
      <c r="F17" s="604" t="s">
        <v>3</v>
      </c>
      <c r="G17" s="42" t="s">
        <v>86</v>
      </c>
      <c r="H17" s="35">
        <v>0</v>
      </c>
      <c r="I17" s="35">
        <v>50</v>
      </c>
      <c r="J17" s="35">
        <v>50</v>
      </c>
      <c r="K17" s="35">
        <v>100</v>
      </c>
      <c r="L17" s="35">
        <v>100</v>
      </c>
      <c r="M17" s="108">
        <f t="shared" ref="M17:M19" si="2">SUM(H17:L17)</f>
        <v>300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108">
        <f>SUM(F17:S17)</f>
        <v>600</v>
      </c>
      <c r="U17" s="35">
        <v>0</v>
      </c>
      <c r="V17" s="35">
        <v>50</v>
      </c>
      <c r="W17" s="35">
        <v>100</v>
      </c>
      <c r="X17" s="35">
        <v>100</v>
      </c>
      <c r="Y17" s="35">
        <v>150</v>
      </c>
      <c r="Z17" s="35">
        <v>200</v>
      </c>
      <c r="AA17" s="108">
        <f>SUM(N17:Z17)</f>
        <v>1200</v>
      </c>
    </row>
    <row r="18" spans="2:27">
      <c r="B18" s="2"/>
      <c r="C18" s="597"/>
      <c r="D18" s="605"/>
      <c r="E18" s="135" t="s">
        <v>90</v>
      </c>
      <c r="F18" s="540"/>
      <c r="G18" s="63" t="s">
        <v>87</v>
      </c>
      <c r="H18" s="35"/>
      <c r="I18" s="35"/>
      <c r="J18" s="35"/>
      <c r="K18" s="35"/>
      <c r="L18" s="35"/>
      <c r="M18" s="108"/>
      <c r="N18" s="35"/>
      <c r="O18" s="35"/>
      <c r="P18" s="35"/>
      <c r="Q18" s="35"/>
      <c r="R18" s="35"/>
      <c r="S18" s="35"/>
      <c r="T18" s="108"/>
      <c r="U18" s="35"/>
      <c r="V18" s="35"/>
      <c r="W18" s="35"/>
      <c r="X18" s="35"/>
      <c r="Y18" s="35"/>
      <c r="Z18" s="35"/>
      <c r="AA18" s="108"/>
    </row>
    <row r="19" spans="2:27">
      <c r="B19" s="2"/>
      <c r="C19" s="596">
        <v>8</v>
      </c>
      <c r="D19" s="604" t="s">
        <v>25</v>
      </c>
      <c r="E19" s="627" t="s">
        <v>114</v>
      </c>
      <c r="F19" s="540"/>
      <c r="G19" s="42" t="s">
        <v>86</v>
      </c>
      <c r="H19" s="35">
        <v>0</v>
      </c>
      <c r="I19" s="35">
        <v>150</v>
      </c>
      <c r="J19" s="35">
        <v>150</v>
      </c>
      <c r="K19" s="35">
        <v>0</v>
      </c>
      <c r="L19" s="35">
        <v>0</v>
      </c>
      <c r="M19" s="108">
        <f t="shared" si="2"/>
        <v>300</v>
      </c>
      <c r="N19" s="35">
        <v>400</v>
      </c>
      <c r="O19" s="35">
        <v>200</v>
      </c>
      <c r="P19" s="35">
        <v>420</v>
      </c>
      <c r="Q19" s="35">
        <v>200</v>
      </c>
      <c r="R19" s="35">
        <v>200</v>
      </c>
      <c r="S19" s="35">
        <v>200</v>
      </c>
      <c r="T19" s="108">
        <f>SUM(F19:S19)</f>
        <v>2220</v>
      </c>
      <c r="U19" s="35">
        <v>200</v>
      </c>
      <c r="V19" s="35">
        <v>200</v>
      </c>
      <c r="W19" s="35">
        <v>200</v>
      </c>
      <c r="X19" s="35">
        <v>200</v>
      </c>
      <c r="Y19" s="35">
        <v>200</v>
      </c>
      <c r="Z19" s="35">
        <v>200</v>
      </c>
      <c r="AA19" s="108">
        <f>SUM(N19:Z19)</f>
        <v>5040</v>
      </c>
    </row>
    <row r="20" spans="2:27" ht="33" customHeight="1">
      <c r="B20" s="2"/>
      <c r="C20" s="597"/>
      <c r="D20" s="605"/>
      <c r="E20" s="628"/>
      <c r="F20" s="540"/>
      <c r="G20" s="63" t="s">
        <v>87</v>
      </c>
      <c r="H20" s="72">
        <v>3</v>
      </c>
      <c r="I20" s="69">
        <v>74</v>
      </c>
      <c r="J20" s="69">
        <v>109</v>
      </c>
      <c r="K20" s="72">
        <v>150</v>
      </c>
      <c r="L20" s="72">
        <v>446</v>
      </c>
      <c r="M20" s="108"/>
      <c r="N20" s="133">
        <v>447</v>
      </c>
      <c r="O20" s="35"/>
      <c r="P20" s="35"/>
      <c r="Q20" s="35"/>
      <c r="R20" s="35"/>
      <c r="S20" s="35"/>
      <c r="T20" s="108"/>
      <c r="U20" s="35"/>
      <c r="V20" s="35"/>
      <c r="W20" s="35"/>
      <c r="X20" s="35"/>
      <c r="Y20" s="35"/>
      <c r="Z20" s="35"/>
      <c r="AA20" s="108"/>
    </row>
    <row r="21" spans="2:27">
      <c r="B21" s="2"/>
      <c r="C21" s="596">
        <v>9</v>
      </c>
      <c r="D21" s="604" t="s">
        <v>68</v>
      </c>
      <c r="E21" s="626" t="s">
        <v>97</v>
      </c>
      <c r="F21" s="540"/>
      <c r="G21" s="34" t="s">
        <v>86</v>
      </c>
      <c r="H21" s="606" t="s">
        <v>98</v>
      </c>
      <c r="I21" s="607"/>
      <c r="J21" s="608"/>
      <c r="K21" s="35"/>
      <c r="L21" s="35"/>
      <c r="M21" s="108"/>
      <c r="N21" s="35">
        <v>0</v>
      </c>
      <c r="O21" s="35"/>
      <c r="P21" s="35">
        <v>100</v>
      </c>
      <c r="Q21" s="35">
        <v>100</v>
      </c>
      <c r="R21" s="35">
        <v>100</v>
      </c>
      <c r="S21" s="35">
        <v>100</v>
      </c>
      <c r="T21" s="108">
        <f>SUM(F21:S21)</f>
        <v>400</v>
      </c>
      <c r="U21" s="35">
        <v>150</v>
      </c>
      <c r="V21" s="35">
        <v>200</v>
      </c>
      <c r="W21" s="35">
        <v>200</v>
      </c>
      <c r="X21" s="35">
        <v>200</v>
      </c>
      <c r="Y21" s="35">
        <v>200</v>
      </c>
      <c r="Z21" s="35">
        <v>200</v>
      </c>
      <c r="AA21" s="108">
        <f>SUM(N21:Z21)</f>
        <v>1950</v>
      </c>
    </row>
    <row r="22" spans="2:27">
      <c r="B22" s="2"/>
      <c r="C22" s="597"/>
      <c r="D22" s="540"/>
      <c r="E22" s="626"/>
      <c r="F22" s="540"/>
      <c r="G22" s="67" t="s">
        <v>99</v>
      </c>
      <c r="H22" s="609"/>
      <c r="I22" s="610"/>
      <c r="J22" s="611"/>
      <c r="K22" s="35"/>
      <c r="L22" s="35"/>
      <c r="M22" s="108"/>
      <c r="N22" s="35"/>
      <c r="O22" s="35"/>
      <c r="P22" s="35"/>
      <c r="Q22" s="35"/>
      <c r="R22" s="35"/>
      <c r="S22" s="35"/>
      <c r="T22" s="108"/>
      <c r="U22" s="35"/>
      <c r="V22" s="35"/>
      <c r="W22" s="35"/>
      <c r="X22" s="35"/>
      <c r="Y22" s="35"/>
      <c r="Z22" s="35"/>
      <c r="AA22" s="108"/>
    </row>
    <row r="23" spans="2:27">
      <c r="B23" s="2"/>
      <c r="C23" s="596">
        <v>10</v>
      </c>
      <c r="D23" s="598" t="s">
        <v>69</v>
      </c>
      <c r="E23" s="641" t="s">
        <v>116</v>
      </c>
      <c r="F23" s="540"/>
      <c r="G23" s="78" t="s">
        <v>86</v>
      </c>
      <c r="H23" s="612" t="s">
        <v>101</v>
      </c>
      <c r="I23" s="613"/>
      <c r="J23" s="614"/>
      <c r="K23" s="35"/>
      <c r="L23" s="35"/>
      <c r="M23" s="108"/>
      <c r="N23" s="35"/>
      <c r="O23" s="35"/>
      <c r="P23" s="35"/>
      <c r="Q23" s="35">
        <v>1330</v>
      </c>
      <c r="R23" s="35">
        <v>1330</v>
      </c>
      <c r="S23" s="35">
        <v>1330</v>
      </c>
      <c r="T23" s="108"/>
      <c r="U23" s="35">
        <v>1330</v>
      </c>
      <c r="V23" s="35">
        <v>1330</v>
      </c>
      <c r="W23" s="35">
        <v>1330</v>
      </c>
      <c r="X23" s="35">
        <v>1330</v>
      </c>
      <c r="Y23" s="35">
        <v>1330</v>
      </c>
      <c r="Z23" s="35">
        <v>1330</v>
      </c>
      <c r="AA23" s="108"/>
    </row>
    <row r="24" spans="2:27">
      <c r="B24" s="2"/>
      <c r="C24" s="597"/>
      <c r="D24" s="599"/>
      <c r="E24" s="641"/>
      <c r="F24" s="605"/>
      <c r="G24" s="79" t="s">
        <v>99</v>
      </c>
      <c r="H24" s="612"/>
      <c r="I24" s="613"/>
      <c r="J24" s="614"/>
      <c r="K24" s="35"/>
      <c r="L24" s="35"/>
      <c r="M24" s="108"/>
      <c r="N24" s="35"/>
      <c r="O24" s="35"/>
      <c r="P24" s="35"/>
      <c r="Q24" s="35"/>
      <c r="R24" s="35"/>
      <c r="S24" s="35"/>
      <c r="T24" s="108"/>
      <c r="U24" s="35"/>
      <c r="V24" s="35"/>
      <c r="W24" s="35"/>
      <c r="X24" s="35"/>
      <c r="Y24" s="35"/>
      <c r="Z24" s="35"/>
      <c r="AA24" s="108"/>
    </row>
    <row r="25" spans="2:27">
      <c r="B25" s="2"/>
      <c r="C25" s="596">
        <v>11</v>
      </c>
      <c r="D25" s="639" t="s">
        <v>117</v>
      </c>
      <c r="E25" s="641" t="s">
        <v>118</v>
      </c>
      <c r="F25" s="598" t="s">
        <v>3</v>
      </c>
      <c r="G25" s="78" t="s">
        <v>86</v>
      </c>
      <c r="H25" s="80"/>
      <c r="I25" s="81"/>
      <c r="J25" s="82"/>
      <c r="K25" s="35"/>
      <c r="L25" s="35"/>
      <c r="M25" s="108"/>
      <c r="N25" s="35"/>
      <c r="O25" s="35"/>
      <c r="P25" s="35"/>
      <c r="Q25" s="35"/>
      <c r="R25" s="35"/>
      <c r="S25" s="35"/>
      <c r="T25" s="108"/>
      <c r="U25" s="35"/>
      <c r="V25" s="35"/>
      <c r="W25" s="35"/>
      <c r="X25" s="35"/>
      <c r="Y25" s="35"/>
      <c r="Z25" s="35"/>
      <c r="AA25" s="108"/>
    </row>
    <row r="26" spans="2:27">
      <c r="B26" s="2"/>
      <c r="C26" s="597"/>
      <c r="D26" s="640"/>
      <c r="E26" s="642"/>
      <c r="F26" s="599"/>
      <c r="G26" s="79" t="s">
        <v>99</v>
      </c>
      <c r="H26" s="83"/>
      <c r="I26" s="84"/>
      <c r="J26" s="85"/>
      <c r="K26" s="62"/>
      <c r="L26" s="62"/>
      <c r="M26" s="109"/>
      <c r="N26" s="62"/>
      <c r="O26" s="62"/>
      <c r="P26" s="62"/>
      <c r="Q26" s="62"/>
      <c r="R26" s="62"/>
      <c r="S26" s="62"/>
      <c r="T26" s="109"/>
      <c r="U26" s="62"/>
      <c r="V26" s="62"/>
      <c r="W26" s="62"/>
      <c r="X26" s="62"/>
      <c r="Y26" s="62"/>
      <c r="Z26" s="62"/>
      <c r="AA26" s="109"/>
    </row>
    <row r="27" spans="2:27">
      <c r="B27" s="2"/>
      <c r="C27" s="596"/>
      <c r="D27" s="601" t="s">
        <v>32</v>
      </c>
      <c r="E27" s="112"/>
      <c r="F27" s="112"/>
      <c r="G27" s="65" t="s">
        <v>86</v>
      </c>
      <c r="H27" s="12">
        <f>SUMIF(G5:G26,"計画",H5:H26)</f>
        <v>200</v>
      </c>
      <c r="I27" s="12">
        <f>SUMIF(G5:G26,"計画",I5:I26)</f>
        <v>550</v>
      </c>
      <c r="J27" s="12">
        <f>SUMIF(G5:G26,"計画",J5:J26)</f>
        <v>700</v>
      </c>
      <c r="K27" s="12">
        <f ca="1">SUMIF(G5:J26,"計画",K5:K26)</f>
        <v>600</v>
      </c>
      <c r="L27" s="12">
        <f>SUMIF(G5:G26,"計画",L5:L26)</f>
        <v>900</v>
      </c>
      <c r="M27" s="76">
        <f ca="1">SUM(H27:L27)</f>
        <v>2950</v>
      </c>
      <c r="N27" s="12">
        <f>SUMIF(G5:G26,"計画",N5:N26)</f>
        <v>400</v>
      </c>
      <c r="O27" s="12">
        <f>SUMIF(G5:G26,"計画",O5:O26)</f>
        <v>200</v>
      </c>
      <c r="P27" s="12">
        <f>SUMIF(G5:G26,"計画",P5:P26)</f>
        <v>520</v>
      </c>
      <c r="Q27" s="12">
        <f>SUMIF(G5:G26,"計画",Q5:Q26)</f>
        <v>1780</v>
      </c>
      <c r="R27" s="12">
        <f>SUMIF(G5:G26,"計画",R5:R26)</f>
        <v>1780</v>
      </c>
      <c r="S27" s="12">
        <f>SUMIF(G5:G26,"計画",S5:S26)</f>
        <v>1830</v>
      </c>
      <c r="T27" s="76">
        <f>SUM(N27:S27)</f>
        <v>6510</v>
      </c>
      <c r="U27" s="12">
        <f>SUMIF(G5:G26,"計画",U5:U26)</f>
        <v>2180</v>
      </c>
      <c r="V27" s="12">
        <f>SUMIF(G5:G26,"計画",V5:V26)</f>
        <v>2280</v>
      </c>
      <c r="W27" s="12">
        <f>SUMIF(G5:G26,"計画",W5:W26)</f>
        <v>2330</v>
      </c>
      <c r="X27" s="12">
        <f>SUMIF(G5:G26,"計画",X5:X26)</f>
        <v>2330</v>
      </c>
      <c r="Y27" s="12">
        <f>SUMIF(G5:G26,"計画",Y5:Y26)</f>
        <v>2380</v>
      </c>
      <c r="Z27" s="12">
        <f>SUMIF(G5:G26,"計画",Z5:Z26)</f>
        <v>2430</v>
      </c>
      <c r="AA27" s="76">
        <f>SUM(T27:Z27)</f>
        <v>20440</v>
      </c>
    </row>
    <row r="28" spans="2:27" ht="20.25" thickBot="1">
      <c r="B28" s="2"/>
      <c r="C28" s="600"/>
      <c r="D28" s="602"/>
      <c r="E28" s="132"/>
      <c r="F28" s="132"/>
      <c r="G28" s="75" t="s">
        <v>87</v>
      </c>
      <c r="H28" s="12">
        <f>SUMIF(G5:G27,"実績",H5:H27)</f>
        <v>234</v>
      </c>
      <c r="I28" s="12">
        <f ca="1">SUMIF(G5:H27,"実績",I5:I27)</f>
        <v>224</v>
      </c>
      <c r="J28" s="12">
        <f ca="1">SUMIF(G5:I26,"実績",J5:J26)</f>
        <v>109</v>
      </c>
      <c r="K28" s="12">
        <f ca="1">SUMIF(G5:J26,"実績",K5:K26)</f>
        <v>275</v>
      </c>
      <c r="L28" s="12">
        <f ca="1">SUMIF(G5:K26,"実績",L5:L26)</f>
        <v>446</v>
      </c>
      <c r="M28" s="77">
        <f ca="1">SUM(H28:L28)</f>
        <v>1288</v>
      </c>
      <c r="N28" s="12">
        <f>SUMIF(G5:G26,"実績",N5:N26)</f>
        <v>447</v>
      </c>
      <c r="O28" s="12">
        <f>SUMIF(G5:G26,"実績",O5:O26)</f>
        <v>0</v>
      </c>
      <c r="P28" s="12">
        <f>SUMIF(G5:G26,"実績",P5:P26)</f>
        <v>0</v>
      </c>
      <c r="Q28" s="12">
        <f>SUMIF(G5:G26,"実績",Q5:Q26)</f>
        <v>0</v>
      </c>
      <c r="R28" s="12">
        <f>SUMIF(G5:G26,"実績",R5:R26)</f>
        <v>0</v>
      </c>
      <c r="S28" s="12">
        <f>SUMIF(G5:G26,"実績",S5:S26)</f>
        <v>0</v>
      </c>
      <c r="T28" s="77">
        <f>SUM(N28:S28)</f>
        <v>447</v>
      </c>
      <c r="U28" s="12">
        <f>SUMIF(G5:G26,"実績",U5:U26)</f>
        <v>0</v>
      </c>
      <c r="V28" s="12">
        <f>SUMIF(G5:G26,"実績",V5:V26)</f>
        <v>0</v>
      </c>
      <c r="W28" s="12">
        <f>SUMIF(G5:G26,"実績",W5:W26)</f>
        <v>0</v>
      </c>
      <c r="X28" s="12">
        <f>SUMIF(G5:G26,"実績",X5:X26)</f>
        <v>0</v>
      </c>
      <c r="Y28" s="12">
        <f>SUMIF(G5:G26,"実績",Y5:Y26)</f>
        <v>0</v>
      </c>
      <c r="Z28" s="12">
        <f>SUMIF(G5:G26,"実績",Z5:Z26)</f>
        <v>0</v>
      </c>
      <c r="AA28" s="77">
        <f>SUM(T28:Z28)</f>
        <v>447</v>
      </c>
    </row>
    <row r="30" spans="2:27">
      <c r="H30" s="594"/>
      <c r="I30" s="594"/>
      <c r="J30" s="594"/>
      <c r="K30" s="595"/>
      <c r="L30" s="595"/>
      <c r="M30" s="595"/>
      <c r="T30" s="1"/>
      <c r="V30" s="594" t="s">
        <v>86</v>
      </c>
      <c r="W30" s="594"/>
      <c r="X30" s="594"/>
      <c r="Y30" s="595" t="s">
        <v>87</v>
      </c>
      <c r="Z30" s="595"/>
      <c r="AA30" s="595"/>
    </row>
    <row r="31" spans="2:27" ht="19.149999999999999" customHeight="1">
      <c r="D31" s="590"/>
      <c r="E31" s="591"/>
      <c r="F31" s="591"/>
      <c r="G31" s="592"/>
      <c r="H31" s="587"/>
      <c r="I31" s="588"/>
      <c r="J31" s="589"/>
      <c r="K31" s="587"/>
      <c r="L31" s="588"/>
      <c r="M31" s="589"/>
      <c r="O31" s="593" t="s">
        <v>103</v>
      </c>
      <c r="P31" s="593"/>
      <c r="Q31" s="593"/>
      <c r="R31" s="593"/>
      <c r="S31" s="593"/>
      <c r="T31" s="593"/>
      <c r="U31" s="593"/>
      <c r="V31" s="587">
        <f>SUM(V27:Z27)</f>
        <v>11750</v>
      </c>
      <c r="W31" s="588"/>
      <c r="X31" s="589"/>
      <c r="Y31" s="587">
        <f>SUM(N28:Z28)</f>
        <v>894</v>
      </c>
      <c r="Z31" s="588"/>
      <c r="AA31" s="589"/>
    </row>
    <row r="32" spans="2:27">
      <c r="D32" s="590"/>
      <c r="E32" s="591"/>
      <c r="F32" s="591"/>
      <c r="G32" s="592"/>
      <c r="H32" s="587"/>
      <c r="I32" s="588"/>
      <c r="J32" s="589"/>
      <c r="K32" s="587"/>
      <c r="L32" s="588"/>
      <c r="M32" s="589"/>
      <c r="O32" s="593" t="s">
        <v>35</v>
      </c>
      <c r="P32" s="593"/>
      <c r="Q32" s="593"/>
      <c r="R32" s="593"/>
      <c r="S32" s="593"/>
      <c r="T32" s="593"/>
      <c r="U32" s="593"/>
      <c r="V32" s="587">
        <f>V31*1800</f>
        <v>21150000</v>
      </c>
      <c r="W32" s="588"/>
      <c r="X32" s="589"/>
      <c r="Y32" s="587">
        <f>Y31*1800</f>
        <v>1609200</v>
      </c>
      <c r="Z32" s="588"/>
      <c r="AA32" s="589"/>
    </row>
    <row r="33" spans="4:27">
      <c r="D33" s="590"/>
      <c r="E33" s="591"/>
      <c r="F33" s="591"/>
      <c r="G33" s="592"/>
      <c r="H33" s="587"/>
      <c r="I33" s="588"/>
      <c r="J33" s="589"/>
      <c r="K33" s="587"/>
      <c r="L33" s="588"/>
      <c r="M33" s="589"/>
      <c r="O33" s="593" t="s">
        <v>36</v>
      </c>
      <c r="P33" s="593"/>
      <c r="Q33" s="593"/>
      <c r="R33" s="593"/>
      <c r="S33" s="593"/>
      <c r="T33" s="593"/>
      <c r="U33" s="593"/>
      <c r="V33" s="587">
        <v>165</v>
      </c>
      <c r="W33" s="588"/>
      <c r="X33" s="589"/>
      <c r="Y33" s="587">
        <v>165</v>
      </c>
      <c r="Z33" s="588"/>
      <c r="AA33" s="589"/>
    </row>
    <row r="34" spans="4:27">
      <c r="D34" s="590"/>
      <c r="E34" s="591"/>
      <c r="F34" s="591"/>
      <c r="G34" s="592"/>
      <c r="H34" s="587"/>
      <c r="I34" s="588"/>
      <c r="J34" s="589"/>
      <c r="K34" s="587"/>
      <c r="L34" s="588"/>
      <c r="M34" s="589"/>
      <c r="O34" s="593" t="s">
        <v>37</v>
      </c>
      <c r="P34" s="593"/>
      <c r="Q34" s="593"/>
      <c r="R34" s="593"/>
      <c r="S34" s="593"/>
      <c r="T34" s="593"/>
      <c r="U34" s="593"/>
      <c r="V34" s="587">
        <f>V32*V33</f>
        <v>3489750000</v>
      </c>
      <c r="W34" s="588"/>
      <c r="X34" s="589"/>
      <c r="Y34" s="587">
        <f>Y32*Y33</f>
        <v>265518000</v>
      </c>
      <c r="Z34" s="588"/>
      <c r="AA34" s="589"/>
    </row>
  </sheetData>
  <mergeCells count="69">
    <mergeCell ref="F25:F26"/>
    <mergeCell ref="E9:E10"/>
    <mergeCell ref="D11:D12"/>
    <mergeCell ref="E11:E12"/>
    <mergeCell ref="D7:D8"/>
    <mergeCell ref="E7:E8"/>
    <mergeCell ref="D21:D22"/>
    <mergeCell ref="E21:E22"/>
    <mergeCell ref="D15:D16"/>
    <mergeCell ref="C11:C12"/>
    <mergeCell ref="D34:G34"/>
    <mergeCell ref="H34:J34"/>
    <mergeCell ref="K34:M34"/>
    <mergeCell ref="D32:G32"/>
    <mergeCell ref="H32:J32"/>
    <mergeCell ref="K32:M32"/>
    <mergeCell ref="D31:G31"/>
    <mergeCell ref="H31:J31"/>
    <mergeCell ref="C25:C26"/>
    <mergeCell ref="D25:D26"/>
    <mergeCell ref="E25:E26"/>
    <mergeCell ref="C27:C28"/>
    <mergeCell ref="D27:D28"/>
    <mergeCell ref="H30:J30"/>
    <mergeCell ref="F7:F16"/>
    <mergeCell ref="O34:U34"/>
    <mergeCell ref="V34:X34"/>
    <mergeCell ref="Y34:AA34"/>
    <mergeCell ref="D33:G33"/>
    <mergeCell ref="H33:J33"/>
    <mergeCell ref="K33:M33"/>
    <mergeCell ref="O33:U33"/>
    <mergeCell ref="V33:X33"/>
    <mergeCell ref="Y33:AA33"/>
    <mergeCell ref="O32:U32"/>
    <mergeCell ref="V32:X32"/>
    <mergeCell ref="Y32:AA32"/>
    <mergeCell ref="K30:M30"/>
    <mergeCell ref="V30:X30"/>
    <mergeCell ref="Y30:AA30"/>
    <mergeCell ref="K31:M31"/>
    <mergeCell ref="O31:U31"/>
    <mergeCell ref="V31:X31"/>
    <mergeCell ref="Y31:AA31"/>
    <mergeCell ref="H21:J22"/>
    <mergeCell ref="C23:C24"/>
    <mergeCell ref="D23:D24"/>
    <mergeCell ref="E23:E24"/>
    <mergeCell ref="H23:J24"/>
    <mergeCell ref="C21:C22"/>
    <mergeCell ref="F17:F24"/>
    <mergeCell ref="C15:C16"/>
    <mergeCell ref="C19:C20"/>
    <mergeCell ref="D19:D20"/>
    <mergeCell ref="E19:E20"/>
    <mergeCell ref="C13:C14"/>
    <mergeCell ref="D13:D14"/>
    <mergeCell ref="E13:E14"/>
    <mergeCell ref="C17:C18"/>
    <mergeCell ref="D17:D18"/>
    <mergeCell ref="C9:C10"/>
    <mergeCell ref="D9:D10"/>
    <mergeCell ref="C2:N2"/>
    <mergeCell ref="K3:N3"/>
    <mergeCell ref="C5:C6"/>
    <mergeCell ref="D5:D6"/>
    <mergeCell ref="E5:E6"/>
    <mergeCell ref="F5:F6"/>
    <mergeCell ref="C7:C8"/>
  </mergeCells>
  <phoneticPr fontId="10"/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BA3F-9E91-48B4-AB6D-0E3177CB10AF}">
  <sheetPr codeName="Sheet11"/>
  <dimension ref="B2:Y21"/>
  <sheetViews>
    <sheetView zoomScale="85" zoomScaleNormal="85" workbookViewId="0">
      <selection activeCell="R14" sqref="R14"/>
    </sheetView>
  </sheetViews>
  <sheetFormatPr defaultColWidth="8.85546875" defaultRowHeight="19.5"/>
  <cols>
    <col min="1" max="2" width="8.85546875" style="1"/>
    <col min="3" max="3" width="8.85546875" style="1" customWidth="1"/>
    <col min="4" max="4" width="10" style="1" bestFit="1" customWidth="1"/>
    <col min="5" max="5" width="17" style="1" bestFit="1" customWidth="1"/>
    <col min="6" max="6" width="6" style="1" customWidth="1"/>
    <col min="7" max="7" width="8.42578125" style="1" bestFit="1" customWidth="1"/>
    <col min="8" max="8" width="5.42578125" style="1" bestFit="1" customWidth="1"/>
    <col min="9" max="11" width="6.28515625" style="1" bestFit="1" customWidth="1"/>
    <col min="12" max="12" width="11.42578125" style="110" customWidth="1"/>
    <col min="13" max="24" width="9.140625" style="1" customWidth="1"/>
    <col min="25" max="25" width="11.42578125" style="110" customWidth="1"/>
    <col min="26" max="16384" width="8.85546875" style="1"/>
  </cols>
  <sheetData>
    <row r="2" spans="2:25" ht="38.25">
      <c r="C2" s="551" t="s">
        <v>71</v>
      </c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2:25" ht="20.25" thickBot="1">
      <c r="J3" s="615" t="s">
        <v>72</v>
      </c>
      <c r="K3" s="615"/>
      <c r="L3" s="615"/>
      <c r="M3" s="615"/>
    </row>
    <row r="4" spans="2:25" ht="20.25" thickBot="1">
      <c r="C4" s="45" t="s">
        <v>73</v>
      </c>
      <c r="D4" s="46" t="s">
        <v>7</v>
      </c>
      <c r="E4" s="122" t="s">
        <v>184</v>
      </c>
      <c r="F4" s="46"/>
      <c r="G4" s="46" t="s">
        <v>8</v>
      </c>
      <c r="H4" s="46" t="s">
        <v>9</v>
      </c>
      <c r="I4" s="46" t="s">
        <v>10</v>
      </c>
      <c r="J4" s="46" t="s">
        <v>11</v>
      </c>
      <c r="K4" s="46" t="s">
        <v>74</v>
      </c>
      <c r="L4" s="105" t="s">
        <v>13</v>
      </c>
      <c r="M4" s="46" t="s">
        <v>14</v>
      </c>
      <c r="N4" s="46" t="s">
        <v>75</v>
      </c>
      <c r="O4" s="46" t="s">
        <v>76</v>
      </c>
      <c r="P4" s="46" t="s">
        <v>77</v>
      </c>
      <c r="Q4" s="46" t="s">
        <v>78</v>
      </c>
      <c r="R4" s="46" t="s">
        <v>79</v>
      </c>
      <c r="S4" s="46" t="s">
        <v>80</v>
      </c>
      <c r="T4" s="46" t="s">
        <v>81</v>
      </c>
      <c r="U4" s="46" t="s">
        <v>82</v>
      </c>
      <c r="V4" s="46" t="s">
        <v>83</v>
      </c>
      <c r="W4" s="46" t="s">
        <v>84</v>
      </c>
      <c r="X4" s="100" t="s">
        <v>74</v>
      </c>
      <c r="Y4" s="105" t="s">
        <v>13</v>
      </c>
    </row>
    <row r="5" spans="2:25">
      <c r="B5" s="2"/>
      <c r="C5" s="596">
        <v>1</v>
      </c>
      <c r="D5" s="818" t="s">
        <v>88</v>
      </c>
      <c r="E5" s="123">
        <v>1</v>
      </c>
      <c r="F5" s="116" t="s">
        <v>86</v>
      </c>
      <c r="G5" s="35"/>
      <c r="H5" s="35"/>
      <c r="I5" s="35"/>
      <c r="J5" s="35"/>
      <c r="K5" s="35"/>
      <c r="L5" s="108">
        <f t="shared" ref="L5:L7" si="0">SUM(G5:K5)</f>
        <v>0</v>
      </c>
      <c r="M5" s="35">
        <v>0</v>
      </c>
      <c r="N5" s="35">
        <v>0</v>
      </c>
      <c r="O5" s="35">
        <v>320</v>
      </c>
      <c r="P5" s="35">
        <v>320</v>
      </c>
      <c r="Q5" s="35">
        <v>320</v>
      </c>
      <c r="R5" s="35">
        <v>320</v>
      </c>
      <c r="S5" s="35">
        <v>320</v>
      </c>
      <c r="T5" s="35">
        <v>50</v>
      </c>
      <c r="U5" s="35">
        <v>100</v>
      </c>
      <c r="V5" s="35">
        <v>100</v>
      </c>
      <c r="W5" s="35">
        <v>150</v>
      </c>
      <c r="X5" s="35">
        <v>200</v>
      </c>
      <c r="Y5" s="108">
        <f>SUM(M5:X5)</f>
        <v>2200</v>
      </c>
    </row>
    <row r="6" spans="2:25">
      <c r="B6" s="2"/>
      <c r="C6" s="597"/>
      <c r="D6" s="827"/>
      <c r="E6" s="124"/>
      <c r="F6" s="117" t="s">
        <v>87</v>
      </c>
      <c r="G6" s="35"/>
      <c r="H6" s="35"/>
      <c r="I6" s="35"/>
      <c r="J6" s="35"/>
      <c r="K6" s="35"/>
      <c r="L6" s="108"/>
      <c r="M6" s="35"/>
      <c r="N6" s="35"/>
      <c r="O6" s="813" t="s">
        <v>185</v>
      </c>
      <c r="P6" s="814"/>
      <c r="Q6" s="814"/>
      <c r="R6" s="814"/>
      <c r="S6" s="815"/>
      <c r="T6" s="129"/>
      <c r="U6" s="129"/>
      <c r="V6" s="129"/>
      <c r="W6" s="129"/>
      <c r="X6" s="129"/>
      <c r="Y6" s="108"/>
    </row>
    <row r="7" spans="2:25">
      <c r="B7" s="2"/>
      <c r="C7" s="596">
        <v>2</v>
      </c>
      <c r="D7" s="818" t="s">
        <v>25</v>
      </c>
      <c r="E7" s="124">
        <v>1</v>
      </c>
      <c r="F7" s="116" t="s">
        <v>86</v>
      </c>
      <c r="G7" s="35">
        <v>0</v>
      </c>
      <c r="H7" s="35">
        <v>150</v>
      </c>
      <c r="I7" s="35">
        <v>150</v>
      </c>
      <c r="J7" s="35">
        <v>0</v>
      </c>
      <c r="K7" s="35">
        <v>0</v>
      </c>
      <c r="L7" s="108">
        <f t="shared" si="0"/>
        <v>300</v>
      </c>
      <c r="M7" s="35">
        <v>200</v>
      </c>
      <c r="N7" s="35">
        <v>200</v>
      </c>
      <c r="O7" s="35">
        <v>200</v>
      </c>
      <c r="P7" s="35">
        <v>200</v>
      </c>
      <c r="Q7" s="35">
        <v>200</v>
      </c>
      <c r="R7" s="35">
        <v>200</v>
      </c>
      <c r="S7" s="35">
        <v>200</v>
      </c>
      <c r="T7" s="35">
        <v>200</v>
      </c>
      <c r="U7" s="35">
        <v>200</v>
      </c>
      <c r="V7" s="35">
        <v>200</v>
      </c>
      <c r="W7" s="35">
        <v>200</v>
      </c>
      <c r="X7" s="35">
        <v>200</v>
      </c>
      <c r="Y7" s="108">
        <f>SUM(M7:X7)</f>
        <v>2400</v>
      </c>
    </row>
    <row r="8" spans="2:25">
      <c r="B8" s="2"/>
      <c r="C8" s="597"/>
      <c r="D8" s="827"/>
      <c r="E8" s="124"/>
      <c r="F8" s="117" t="s">
        <v>87</v>
      </c>
      <c r="G8" s="72">
        <v>10</v>
      </c>
      <c r="H8" s="69">
        <v>74</v>
      </c>
      <c r="I8" s="69">
        <v>109</v>
      </c>
      <c r="J8" s="72">
        <v>150</v>
      </c>
      <c r="K8" s="72">
        <v>446</v>
      </c>
      <c r="L8" s="108"/>
      <c r="M8" s="72">
        <v>447</v>
      </c>
      <c r="N8" s="72">
        <v>66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108"/>
    </row>
    <row r="9" spans="2:25">
      <c r="B9" s="2"/>
      <c r="C9" s="61">
        <v>3</v>
      </c>
      <c r="D9" s="818" t="s">
        <v>68</v>
      </c>
      <c r="E9" s="124">
        <v>1</v>
      </c>
      <c r="F9" s="118" t="s">
        <v>86</v>
      </c>
      <c r="G9" s="606" t="s">
        <v>186</v>
      </c>
      <c r="H9" s="820"/>
      <c r="I9" s="821"/>
      <c r="J9" s="35"/>
      <c r="K9" s="35"/>
      <c r="L9" s="108"/>
      <c r="M9" s="35">
        <v>150</v>
      </c>
      <c r="N9" s="35">
        <v>150</v>
      </c>
      <c r="O9" s="35">
        <v>150</v>
      </c>
      <c r="P9" s="35">
        <v>150</v>
      </c>
      <c r="Q9" s="35">
        <v>150</v>
      </c>
      <c r="R9" s="35">
        <v>150</v>
      </c>
      <c r="S9" s="35">
        <v>200</v>
      </c>
      <c r="T9" s="35">
        <v>200</v>
      </c>
      <c r="U9" s="35">
        <v>200</v>
      </c>
      <c r="V9" s="35">
        <v>200</v>
      </c>
      <c r="W9" s="35">
        <v>200</v>
      </c>
      <c r="X9" s="35">
        <v>200</v>
      </c>
      <c r="Y9" s="108">
        <f>SUM(M9:X9)</f>
        <v>2100</v>
      </c>
    </row>
    <row r="10" spans="2:25">
      <c r="B10" s="2"/>
      <c r="C10" s="66"/>
      <c r="D10" s="819"/>
      <c r="E10" s="124"/>
      <c r="F10" s="119" t="s">
        <v>99</v>
      </c>
      <c r="G10" s="822"/>
      <c r="H10" s="823"/>
      <c r="I10" s="824"/>
      <c r="J10" s="35"/>
      <c r="K10" s="35"/>
      <c r="L10" s="108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108"/>
    </row>
    <row r="11" spans="2:25">
      <c r="B11" s="2"/>
      <c r="C11" s="596">
        <v>4</v>
      </c>
      <c r="D11" s="825" t="s">
        <v>69</v>
      </c>
      <c r="E11" s="125">
        <v>4</v>
      </c>
      <c r="F11" s="120" t="s">
        <v>86</v>
      </c>
      <c r="G11" s="612" t="s">
        <v>101</v>
      </c>
      <c r="H11" s="613"/>
      <c r="I11" s="614"/>
      <c r="J11" s="35"/>
      <c r="K11" s="35"/>
      <c r="L11" s="108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108"/>
    </row>
    <row r="12" spans="2:25">
      <c r="B12" s="2"/>
      <c r="C12" s="597"/>
      <c r="D12" s="826"/>
      <c r="E12" s="126"/>
      <c r="F12" s="121" t="s">
        <v>99</v>
      </c>
      <c r="G12" s="612"/>
      <c r="H12" s="613"/>
      <c r="I12" s="614"/>
      <c r="J12" s="35"/>
      <c r="K12" s="35"/>
      <c r="L12" s="108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108"/>
    </row>
    <row r="13" spans="2:25">
      <c r="B13" s="2"/>
      <c r="C13" s="596"/>
      <c r="D13" s="816" t="s">
        <v>32</v>
      </c>
      <c r="E13" s="127">
        <f>SUM(E5:E12)</f>
        <v>7</v>
      </c>
      <c r="F13" s="65" t="s">
        <v>86</v>
      </c>
      <c r="G13" s="12">
        <f>SUMIF(F5:F12,"計画",G5:G12)</f>
        <v>0</v>
      </c>
      <c r="H13" s="12">
        <f>SUMIF(F5:F12,"計画",H5:H12)</f>
        <v>150</v>
      </c>
      <c r="I13" s="12">
        <f>SUMIF(F5:F12,"計画",I5:I12)</f>
        <v>150</v>
      </c>
      <c r="J13" s="12">
        <f>SUMIF(F5:F12,"計画",J5:J12)</f>
        <v>0</v>
      </c>
      <c r="K13" s="12">
        <f>SUMIF(F5:F12,"計画",K5:K12)</f>
        <v>0</v>
      </c>
      <c r="L13" s="76">
        <f>SUM(G13:K13)</f>
        <v>300</v>
      </c>
      <c r="M13" s="12">
        <f>SUMIF(F5:F12,"計画",M5:M12)</f>
        <v>350</v>
      </c>
      <c r="N13" s="12">
        <f>SUMIF(F5:F12,"計画",N5:N12)</f>
        <v>350</v>
      </c>
      <c r="O13" s="12">
        <f>SUMIF(F5:F12,"計画",O5:O12)</f>
        <v>670</v>
      </c>
      <c r="P13" s="12">
        <f>SUMIF(F5:F11,"計画",P5:P12)</f>
        <v>670</v>
      </c>
      <c r="Q13" s="12">
        <f>SUMIF(F5:F12,"計画",Q5:Q12)</f>
        <v>670</v>
      </c>
      <c r="R13" s="12">
        <f>SUMIF(F5:F12,"計画",R5:R12)</f>
        <v>670</v>
      </c>
      <c r="S13" s="12">
        <f>SUMIF(F5:F12,"計画",S5:S12)</f>
        <v>720</v>
      </c>
      <c r="T13" s="12">
        <f>SUMIF(F5:F12,"計画",T5:T12)</f>
        <v>450</v>
      </c>
      <c r="U13" s="12">
        <f>SUMIF(F5:F12,"計画",U5:U12)</f>
        <v>500</v>
      </c>
      <c r="V13" s="12">
        <f>SUMIF(J5:J12,"計画",V5:V12)</f>
        <v>0</v>
      </c>
      <c r="W13" s="12">
        <f>SUMIF(K5:K12,"計画",W5:W12)</f>
        <v>0</v>
      </c>
      <c r="X13" s="12">
        <f>SUMIF(L5:L12,"計画",X5:X12)</f>
        <v>0</v>
      </c>
      <c r="Y13" s="76">
        <f>SUM(S13:X13)</f>
        <v>1670</v>
      </c>
    </row>
    <row r="14" spans="2:25" ht="20.25" thickBot="1">
      <c r="B14" s="2"/>
      <c r="C14" s="600"/>
      <c r="D14" s="817"/>
      <c r="E14" s="128"/>
      <c r="F14" s="75" t="s">
        <v>87</v>
      </c>
      <c r="G14" s="12">
        <f>SUMIF($F$5:$F$12,"実績",G5:G12)</f>
        <v>10</v>
      </c>
      <c r="H14" s="12">
        <f t="shared" ref="H14:J14" si="1">SUMIF($F$5:$F$12,"実績",H5:H12)</f>
        <v>74</v>
      </c>
      <c r="I14" s="12">
        <f t="shared" si="1"/>
        <v>109</v>
      </c>
      <c r="J14" s="12">
        <f t="shared" si="1"/>
        <v>150</v>
      </c>
      <c r="K14" s="12">
        <f>SUMIF($F$5:$F$12,"実績",K5:K12)</f>
        <v>446</v>
      </c>
      <c r="L14" s="77">
        <f>SUM(G14:K14)</f>
        <v>789</v>
      </c>
      <c r="M14" s="12">
        <f>SUMIF($F$5:$F$12,"実績",M5:M12)</f>
        <v>447</v>
      </c>
      <c r="N14" s="12">
        <f t="shared" ref="N14:X14" si="2">SUMIF(I5:I12,"実績",N5:N12)</f>
        <v>0</v>
      </c>
      <c r="O14" s="12">
        <f t="shared" si="2"/>
        <v>0</v>
      </c>
      <c r="P14" s="12">
        <f t="shared" si="2"/>
        <v>0</v>
      </c>
      <c r="Q14" s="12">
        <f t="shared" si="2"/>
        <v>0</v>
      </c>
      <c r="R14" s="12">
        <f t="shared" si="2"/>
        <v>0</v>
      </c>
      <c r="S14" s="12">
        <f t="shared" si="2"/>
        <v>0</v>
      </c>
      <c r="T14" s="12">
        <f t="shared" si="2"/>
        <v>0</v>
      </c>
      <c r="U14" s="12">
        <f t="shared" si="2"/>
        <v>0</v>
      </c>
      <c r="V14" s="12">
        <f t="shared" si="2"/>
        <v>0</v>
      </c>
      <c r="W14" s="12">
        <f t="shared" si="2"/>
        <v>0</v>
      </c>
      <c r="X14" s="12">
        <f t="shared" si="2"/>
        <v>0</v>
      </c>
      <c r="Y14" s="77">
        <f>SUM(L14:X14)</f>
        <v>1236</v>
      </c>
    </row>
    <row r="15" spans="2:25">
      <c r="B15" s="2"/>
      <c r="C15" s="3"/>
      <c r="D15" s="112"/>
      <c r="E15" s="112"/>
      <c r="F15" s="113"/>
      <c r="G15" s="114"/>
      <c r="H15" s="114"/>
      <c r="I15" s="114"/>
      <c r="J15" s="114"/>
      <c r="K15" s="114"/>
      <c r="L15" s="115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5"/>
    </row>
    <row r="17" spans="4:25">
      <c r="G17" s="594" t="s">
        <v>86</v>
      </c>
      <c r="H17" s="594"/>
      <c r="I17" s="594"/>
      <c r="J17" s="595" t="s">
        <v>87</v>
      </c>
      <c r="K17" s="595"/>
      <c r="L17" s="595"/>
      <c r="T17" s="594" t="s">
        <v>86</v>
      </c>
      <c r="U17" s="594"/>
      <c r="V17" s="594"/>
      <c r="W17" s="595" t="s">
        <v>87</v>
      </c>
      <c r="X17" s="595"/>
      <c r="Y17" s="595"/>
    </row>
    <row r="18" spans="4:25" ht="19.149999999999999" customHeight="1">
      <c r="D18" s="590" t="s">
        <v>102</v>
      </c>
      <c r="E18" s="591"/>
      <c r="F18" s="592"/>
      <c r="G18" s="587">
        <f>SUM(G13:K13)</f>
        <v>300</v>
      </c>
      <c r="H18" s="588"/>
      <c r="I18" s="589"/>
      <c r="J18" s="587">
        <f>SUM(G14:K14)</f>
        <v>789</v>
      </c>
      <c r="K18" s="588"/>
      <c r="L18" s="589"/>
      <c r="N18" s="593" t="s">
        <v>103</v>
      </c>
      <c r="O18" s="593"/>
      <c r="P18" s="593"/>
      <c r="Q18" s="593"/>
      <c r="R18" s="593"/>
      <c r="S18" s="593"/>
      <c r="T18" s="587">
        <f>SUM(T13:X13)</f>
        <v>950</v>
      </c>
      <c r="U18" s="588"/>
      <c r="V18" s="589"/>
      <c r="W18" s="587">
        <f>SUM(M14:X14)</f>
        <v>447</v>
      </c>
      <c r="X18" s="588"/>
      <c r="Y18" s="589"/>
    </row>
    <row r="19" spans="4:25">
      <c r="D19" s="590" t="s">
        <v>35</v>
      </c>
      <c r="E19" s="591"/>
      <c r="F19" s="592"/>
      <c r="G19" s="587">
        <f>G18*1800</f>
        <v>540000</v>
      </c>
      <c r="H19" s="588"/>
      <c r="I19" s="589"/>
      <c r="J19" s="587">
        <f>J18*1800</f>
        <v>1420200</v>
      </c>
      <c r="K19" s="588"/>
      <c r="L19" s="589"/>
      <c r="N19" s="593" t="s">
        <v>35</v>
      </c>
      <c r="O19" s="593"/>
      <c r="P19" s="593"/>
      <c r="Q19" s="593"/>
      <c r="R19" s="593"/>
      <c r="S19" s="593"/>
      <c r="T19" s="587">
        <f>T18*1800</f>
        <v>1710000</v>
      </c>
      <c r="U19" s="588"/>
      <c r="V19" s="589"/>
      <c r="W19" s="587">
        <f>W18*1800</f>
        <v>804600</v>
      </c>
      <c r="X19" s="588"/>
      <c r="Y19" s="589"/>
    </row>
    <row r="20" spans="4:25">
      <c r="D20" s="590" t="s">
        <v>36</v>
      </c>
      <c r="E20" s="591"/>
      <c r="F20" s="592"/>
      <c r="G20" s="587">
        <v>165</v>
      </c>
      <c r="H20" s="588"/>
      <c r="I20" s="589"/>
      <c r="J20" s="587">
        <v>165</v>
      </c>
      <c r="K20" s="588"/>
      <c r="L20" s="589"/>
      <c r="N20" s="593" t="s">
        <v>36</v>
      </c>
      <c r="O20" s="593"/>
      <c r="P20" s="593"/>
      <c r="Q20" s="593"/>
      <c r="R20" s="593"/>
      <c r="S20" s="593"/>
      <c r="T20" s="587">
        <v>165</v>
      </c>
      <c r="U20" s="588"/>
      <c r="V20" s="589"/>
      <c r="W20" s="587">
        <v>165</v>
      </c>
      <c r="X20" s="588"/>
      <c r="Y20" s="589"/>
    </row>
    <row r="21" spans="4:25">
      <c r="D21" s="590" t="s">
        <v>37</v>
      </c>
      <c r="E21" s="591"/>
      <c r="F21" s="592"/>
      <c r="G21" s="587">
        <f>G19*G20</f>
        <v>89100000</v>
      </c>
      <c r="H21" s="588"/>
      <c r="I21" s="589"/>
      <c r="J21" s="587">
        <f>J19*J20</f>
        <v>234333000</v>
      </c>
      <c r="K21" s="588"/>
      <c r="L21" s="589"/>
      <c r="N21" s="593" t="s">
        <v>37</v>
      </c>
      <c r="O21" s="593"/>
      <c r="P21" s="593"/>
      <c r="Q21" s="593"/>
      <c r="R21" s="593"/>
      <c r="S21" s="593"/>
      <c r="T21" s="587">
        <f>T19*T20</f>
        <v>282150000</v>
      </c>
      <c r="U21" s="588"/>
      <c r="V21" s="589"/>
      <c r="W21" s="587">
        <f>W19*W20</f>
        <v>132759000</v>
      </c>
      <c r="X21" s="588"/>
      <c r="Y21" s="589"/>
    </row>
  </sheetData>
  <mergeCells count="42">
    <mergeCell ref="C7:C8"/>
    <mergeCell ref="D7:D8"/>
    <mergeCell ref="C2:M2"/>
    <mergeCell ref="J3:M3"/>
    <mergeCell ref="C5:C6"/>
    <mergeCell ref="D5:D6"/>
    <mergeCell ref="C13:C14"/>
    <mergeCell ref="D13:D14"/>
    <mergeCell ref="G17:I17"/>
    <mergeCell ref="J17:L17"/>
    <mergeCell ref="D9:D10"/>
    <mergeCell ref="G9:I10"/>
    <mergeCell ref="C11:C12"/>
    <mergeCell ref="D11:D12"/>
    <mergeCell ref="G11:I12"/>
    <mergeCell ref="T19:V19"/>
    <mergeCell ref="W19:Y19"/>
    <mergeCell ref="T17:V17"/>
    <mergeCell ref="W17:Y17"/>
    <mergeCell ref="D18:F18"/>
    <mergeCell ref="G18:I18"/>
    <mergeCell ref="J18:L18"/>
    <mergeCell ref="N18:S18"/>
    <mergeCell ref="T18:V18"/>
    <mergeCell ref="W18:Y18"/>
    <mergeCell ref="T21:V21"/>
    <mergeCell ref="W21:Y21"/>
    <mergeCell ref="D20:F20"/>
    <mergeCell ref="G20:I20"/>
    <mergeCell ref="J20:L20"/>
    <mergeCell ref="N20:S20"/>
    <mergeCell ref="T20:V20"/>
    <mergeCell ref="W20:Y20"/>
    <mergeCell ref="O6:S6"/>
    <mergeCell ref="D21:F21"/>
    <mergeCell ref="G21:I21"/>
    <mergeCell ref="J21:L21"/>
    <mergeCell ref="N21:S21"/>
    <mergeCell ref="D19:F19"/>
    <mergeCell ref="G19:I19"/>
    <mergeCell ref="J19:L19"/>
    <mergeCell ref="N19:S19"/>
  </mergeCells>
  <phoneticPr fontId="10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EFE5-3560-4C8E-8E85-599731D12270}">
  <sheetPr codeName="Sheet12"/>
  <dimension ref="I16:T36"/>
  <sheetViews>
    <sheetView topLeftCell="A7" workbookViewId="0">
      <selection activeCell="AB20" sqref="AB20"/>
    </sheetView>
  </sheetViews>
  <sheetFormatPr defaultRowHeight="15"/>
  <sheetData>
    <row r="16" spans="9:13">
      <c r="I16" t="s">
        <v>187</v>
      </c>
      <c r="J16" t="s">
        <v>188</v>
      </c>
      <c r="K16" t="s">
        <v>189</v>
      </c>
      <c r="L16" t="s">
        <v>190</v>
      </c>
      <c r="M16" t="s">
        <v>191</v>
      </c>
    </row>
    <row r="17" spans="9:13">
      <c r="I17">
        <v>437.5</v>
      </c>
      <c r="J17">
        <v>437.5</v>
      </c>
      <c r="K17">
        <v>437.5</v>
      </c>
      <c r="L17">
        <v>437.5</v>
      </c>
      <c r="M17">
        <v>437.5</v>
      </c>
    </row>
    <row r="35" spans="9:20">
      <c r="I35">
        <v>560</v>
      </c>
      <c r="J35">
        <v>560</v>
      </c>
      <c r="K35">
        <v>560</v>
      </c>
      <c r="L35">
        <v>560</v>
      </c>
      <c r="M35">
        <v>560</v>
      </c>
      <c r="N35">
        <v>560</v>
      </c>
      <c r="O35">
        <v>560</v>
      </c>
      <c r="P35">
        <v>560</v>
      </c>
      <c r="Q35">
        <v>560</v>
      </c>
      <c r="R35">
        <v>560</v>
      </c>
      <c r="S35">
        <v>560</v>
      </c>
      <c r="T35">
        <v>560</v>
      </c>
    </row>
    <row r="36" spans="9:20">
      <c r="I36">
        <f>I35</f>
        <v>560</v>
      </c>
      <c r="J36">
        <f>I36+J35</f>
        <v>1120</v>
      </c>
      <c r="K36">
        <f t="shared" ref="K36:T36" si="0">J36+K35</f>
        <v>1680</v>
      </c>
      <c r="L36">
        <f t="shared" si="0"/>
        <v>2240</v>
      </c>
      <c r="M36">
        <f t="shared" si="0"/>
        <v>2800</v>
      </c>
      <c r="N36">
        <f t="shared" si="0"/>
        <v>3360</v>
      </c>
      <c r="O36">
        <f t="shared" si="0"/>
        <v>3920</v>
      </c>
      <c r="P36">
        <f t="shared" si="0"/>
        <v>4480</v>
      </c>
      <c r="Q36">
        <f t="shared" si="0"/>
        <v>5040</v>
      </c>
      <c r="R36">
        <f t="shared" si="0"/>
        <v>5600</v>
      </c>
      <c r="S36">
        <f t="shared" si="0"/>
        <v>6160</v>
      </c>
      <c r="T36">
        <f t="shared" si="0"/>
        <v>6720</v>
      </c>
    </row>
  </sheetData>
  <phoneticPr fontId="10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4EDDFF10877FF447A18F296CE735D6AF" ma:contentTypeVersion="19" ma:contentTypeDescription="Tạo tài liệu mới." ma:contentTypeScope="" ma:versionID="d3e397b74118895b89a393f1dae46be8">
  <xsd:schema xmlns:xsd="http://www.w3.org/2001/XMLSchema" xmlns:xs="http://www.w3.org/2001/XMLSchema" xmlns:p="http://schemas.microsoft.com/office/2006/metadata/properties" xmlns:ns2="9393f87d-3c80-4790-b45f-01ea261a75f7" xmlns:ns3="4c7b70f1-a698-4758-875d-ff9b1278b52f" targetNamespace="http://schemas.microsoft.com/office/2006/metadata/properties" ma:root="true" ma:fieldsID="a48b1298860a82530128b08a28a3f080" ns2:_="" ns3:_="">
    <xsd:import namespace="9393f87d-3c80-4790-b45f-01ea261a75f7"/>
    <xsd:import namespace="4c7b70f1-a698-4758-875d-ff9b1278b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3f87d-3c80-4790-b45f-01ea261a75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Thẻ Hình ảnh" ma:readOnly="false" ma:fieldId="{5cf76f15-5ced-4ddc-b409-7134ff3c332f}" ma:taxonomyMulti="true" ma:sspId="f88dcf0f-e171-4e61-8bed-1d8939fb3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b70f1-a698-4758-875d-ff9b1278b52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b271471-298a-430e-8a8e-dfad939e5eab}" ma:internalName="TaxCatchAll" ma:showField="CatchAllData" ma:web="4c7b70f1-a698-4758-875d-ff9b1278b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7b70f1-a698-4758-875d-ff9b1278b52f" xsi:nil="true"/>
    <lcf76f155ced4ddcb4097134ff3c332f xmlns="9393f87d-3c80-4790-b45f-01ea261a75f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791304-4C5D-4D91-B89F-B1492463B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93f87d-3c80-4790-b45f-01ea261a75f7"/>
    <ds:schemaRef ds:uri="4c7b70f1-a698-4758-875d-ff9b1278b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C0AECD-A476-4E31-949D-AA42E616762C}">
  <ds:schemaRefs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4c7b70f1-a698-4758-875d-ff9b1278b52f"/>
    <ds:schemaRef ds:uri="http://schemas.microsoft.com/office/2006/documentManagement/types"/>
    <ds:schemaRef ds:uri="9393f87d-3c80-4790-b45f-01ea261a75f7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6A38CBE-B913-4C99-A3ED-794503BDCF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OS</vt:lpstr>
      <vt:lpstr>KS</vt:lpstr>
      <vt:lpstr>CATIAライセンス</vt:lpstr>
      <vt:lpstr>管理_2023</vt:lpstr>
      <vt:lpstr>管理_2024_new</vt:lpstr>
      <vt:lpstr>管理_2025_new</vt:lpstr>
      <vt:lpstr>管理_2025_#2</vt:lpstr>
      <vt:lpstr>管理_2025_#3</vt:lpstr>
      <vt:lpstr>CATIA 生産性</vt:lpstr>
      <vt:lpstr>管理_2024_new ＃3</vt:lpstr>
      <vt:lpstr>管理_2024_new ＃２</vt:lpstr>
      <vt:lpstr>管理_2024_old</vt:lpstr>
      <vt:lpstr>CATIA業務計算_2024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Lê Hải Long</dc:creator>
  <cp:keywords/>
  <dc:description/>
  <cp:lastModifiedBy>Mạc Tuấn Anh</cp:lastModifiedBy>
  <cp:revision/>
  <dcterms:created xsi:type="dcterms:W3CDTF">2015-06-05T18:17:20Z</dcterms:created>
  <dcterms:modified xsi:type="dcterms:W3CDTF">2025-12-12T09:28:56Z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0x0101004EDDFF10877FF447A18F296CE735D6AF</vt:lpwstr>
  </property>
  <property fmtid="{D5CDD505-2E9C-101B-9397-08002B2CF9AE}" pid="3" name="MediaServiceImageTags">
    <vt:lpwstr/>
  </property>
</Properties>
</file>